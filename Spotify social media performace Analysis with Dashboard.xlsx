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tables/table9.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tables/table10.xml" ContentType="application/vnd.openxmlformats-officedocument.spreadsheetml.table+xml"/>
  <Override PartName="/xl/drawings/drawing8.xml" ContentType="application/vnd.openxmlformats-officedocument.drawing+xml"/>
  <Override PartName="/xl/tables/table1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slicers/slicer3.xml" ContentType="application/vnd.ms-excel.slicer+xml"/>
  <Override PartName="/xl/timelines/timeline2.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BCA\SYLLABUS SEM 5\field project\done\"/>
    </mc:Choice>
  </mc:AlternateContent>
  <xr:revisionPtr revIDLastSave="0" documentId="13_ncr:1_{0B7118C9-1E7A-4AA3-A5ED-5A2D0FA50D4C}" xr6:coauthVersionLast="47" xr6:coauthVersionMax="47" xr10:uidLastSave="{00000000-0000-0000-0000-000000000000}"/>
  <bookViews>
    <workbookView xWindow="-120" yWindow="-120" windowWidth="29040" windowHeight="15840" firstSheet="3" activeTab="10" xr2:uid="{00000000-000D-0000-FFFF-FFFF00000000}"/>
  </bookViews>
  <sheets>
    <sheet name="Posts" sheetId="7" r:id="rId1"/>
    <sheet name="Engagement Summary" sheetId="2" r:id="rId2"/>
    <sheet name="Campaign Metadata" sheetId="3" r:id="rId3"/>
    <sheet name="Analysis done" sheetId="17" r:id="rId4"/>
    <sheet name="Task 1" sheetId="1" r:id="rId5"/>
    <sheet name="TASK2" sheetId="11" r:id="rId6"/>
    <sheet name="TASK3" sheetId="12" r:id="rId7"/>
    <sheet name="Task 4" sheetId="13" r:id="rId8"/>
    <sheet name="Task 5" sheetId="14" r:id="rId9"/>
    <sheet name="Task 6" sheetId="16" r:id="rId10"/>
    <sheet name="Dashboard" sheetId="10" r:id="rId11"/>
    <sheet name="Rough" sheetId="4" r:id="rId12"/>
  </sheets>
  <definedNames>
    <definedName name="_xlcn.WorksheetConnection_Spotifysocialmediaperformacedata.xlsxTable1__41" hidden="1">Table1__4[]</definedName>
    <definedName name="_xlcn.WorksheetConnection_Spotifysocialmediaperformacedata.xlsxTable21" hidden="1">Table2[]</definedName>
    <definedName name="ExternalData_1" localSheetId="0" hidden="1">Posts!$A$1:$N$301</definedName>
    <definedName name="NativeTimeline_Week_Start_Date1">#N/A</definedName>
    <definedName name="Slicer_Content_Type">#N/A</definedName>
    <definedName name="Slicer_Platform">#N/A</definedName>
    <definedName name="Slicer_Platform1">#N/A</definedName>
    <definedName name="Slicer_Week_Start_Date">#N/A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46BE6895-7355-4a93-B00E-2C351335B9C9}">
      <x15:slicerCaches xmlns:x14="http://schemas.microsoft.com/office/spreadsheetml/2009/9/main">
        <x14:slicerCache r:id="rId20"/>
      </x15:slicerCaches>
    </ext>
    <ext xmlns:x15="http://schemas.microsoft.com/office/spreadsheetml/2010/11/main" uri="{FCE2AD5D-F65C-4FA6-A056-5C36A1767C68}">
      <x15:dataModel>
        <x15:modelTables>
          <x15:modelTable id="Table2" name="Table2" connection="WorksheetConnection_Spotify social media performace data .xlsx!Table2"/>
          <x15:modelTable id="Table1__4" name="Table1__4" connection="WorksheetConnection_Spotify social media performace data .xlsx!Table1__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7" l="1"/>
  <c r="R2" i="7" s="1"/>
  <c r="F7" i="13" a="1"/>
  <c r="F7" i="13" s="1"/>
  <c r="G49" i="12"/>
  <c r="G48" i="12"/>
  <c r="G47" i="12"/>
  <c r="M49" i="11"/>
  <c r="O50" i="11" a="1"/>
  <c r="O50" i="11" s="1"/>
  <c r="O51" i="11" a="1"/>
  <c r="O51" i="11" s="1"/>
  <c r="O52" i="11" a="1"/>
  <c r="O52" i="11" s="1"/>
  <c r="O53" i="11" a="1"/>
  <c r="O53" i="11" s="1"/>
  <c r="O49" i="11" a="1"/>
  <c r="O49" i="11" s="1"/>
  <c r="H37" i="11" a="1"/>
  <c r="H37" i="11" s="1"/>
  <c r="H38" i="11" a="1"/>
  <c r="H38" i="11" s="1"/>
  <c r="H39" i="11" a="1"/>
  <c r="H39" i="11" s="1"/>
  <c r="H40" i="11" a="1"/>
  <c r="H40" i="11" s="1"/>
  <c r="H41" i="11" a="1"/>
  <c r="H41" i="11" s="1"/>
  <c r="E7" i="13"/>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 i="2"/>
  <c r="E3" i="2"/>
  <c r="E4" i="2"/>
  <c r="E5" i="2"/>
  <c r="E6" i="2"/>
  <c r="E7" i="2"/>
  <c r="E8" i="2"/>
  <c r="E9" i="2"/>
  <c r="E10" i="2"/>
  <c r="E11" i="2"/>
  <c r="E12" i="2"/>
  <c r="E13" i="2"/>
  <c r="E14" i="2"/>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G6" i="16"/>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J2" i="2" a="1"/>
  <c r="J2" i="2" s="1"/>
  <c r="J3" i="2" a="1"/>
  <c r="J3" i="2" s="1"/>
  <c r="Q2" i="7"/>
  <c r="Q3" i="7"/>
  <c r="Q4" i="7"/>
  <c r="Q5" i="7"/>
  <c r="Q6" i="7"/>
  <c r="Q7" i="7"/>
  <c r="Q8" i="7"/>
  <c r="Q9" i="7"/>
  <c r="Q10" i="7"/>
  <c r="Q11" i="7"/>
  <c r="Q12" i="7"/>
  <c r="Q13" i="7"/>
  <c r="Q14" i="7"/>
  <c r="R14" i="7" s="1"/>
  <c r="Q15" i="7"/>
  <c r="Q16" i="7"/>
  <c r="Q17" i="7"/>
  <c r="Q18" i="7"/>
  <c r="Q19" i="7"/>
  <c r="Q20" i="7"/>
  <c r="Q21" i="7"/>
  <c r="Q22" i="7"/>
  <c r="Q23" i="7"/>
  <c r="Q24" i="7"/>
  <c r="Q25" i="7"/>
  <c r="Q26" i="7"/>
  <c r="Q27" i="7"/>
  <c r="Q28" i="7"/>
  <c r="Q29" i="7"/>
  <c r="Q30" i="7"/>
  <c r="Q31" i="7"/>
  <c r="R31" i="7" s="1"/>
  <c r="Q32" i="7"/>
  <c r="Q33" i="7"/>
  <c r="Q34" i="7"/>
  <c r="Q35" i="7"/>
  <c r="Q36" i="7"/>
  <c r="Q37" i="7"/>
  <c r="Q38" i="7"/>
  <c r="R38" i="7" s="1"/>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R79" i="7" s="1"/>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R112" i="7" s="1"/>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R157" i="7" s="1"/>
  <c r="Q158" i="7"/>
  <c r="R158" i="7" s="1"/>
  <c r="Q159" i="7"/>
  <c r="Q160" i="7"/>
  <c r="Q161" i="7"/>
  <c r="Q162" i="7"/>
  <c r="Q163" i="7"/>
  <c r="Q164" i="7"/>
  <c r="Q165" i="7"/>
  <c r="R165" i="7" s="1"/>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R199" i="7" s="1"/>
  <c r="Q200" i="7"/>
  <c r="Q201" i="7"/>
  <c r="Q202" i="7"/>
  <c r="Q203" i="7"/>
  <c r="Q204" i="7"/>
  <c r="Q205" i="7"/>
  <c r="Q206" i="7"/>
  <c r="Q207" i="7"/>
  <c r="Q208" i="7"/>
  <c r="Q209" i="7"/>
  <c r="Q210" i="7"/>
  <c r="Q211" i="7"/>
  <c r="Q212" i="7"/>
  <c r="Q213" i="7"/>
  <c r="R213" i="7" s="1"/>
  <c r="Q214" i="7"/>
  <c r="Q215" i="7"/>
  <c r="Q216" i="7"/>
  <c r="Q217" i="7"/>
  <c r="Q218" i="7"/>
  <c r="Q219" i="7"/>
  <c r="Q220" i="7"/>
  <c r="Q221" i="7"/>
  <c r="Q222" i="7"/>
  <c r="Q223" i="7"/>
  <c r="R223" i="7" s="1"/>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R278" i="7" s="1"/>
  <c r="Q279" i="7"/>
  <c r="Q280" i="7"/>
  <c r="Q281" i="7"/>
  <c r="Q282" i="7"/>
  <c r="Q283" i="7"/>
  <c r="Q284" i="7"/>
  <c r="Q285" i="7"/>
  <c r="Q286" i="7"/>
  <c r="Q287" i="7"/>
  <c r="Q288" i="7"/>
  <c r="Q289" i="7"/>
  <c r="Q290" i="7"/>
  <c r="Q291" i="7"/>
  <c r="Q292" i="7"/>
  <c r="Q293" i="7"/>
  <c r="Q294" i="7"/>
  <c r="Q295" i="7"/>
  <c r="Q296" i="7"/>
  <c r="Q297" i="7"/>
  <c r="Q298" i="7"/>
  <c r="Q299" i="7"/>
  <c r="Q300" i="7"/>
  <c r="Q301" i="7"/>
  <c r="P3" i="7"/>
  <c r="P4" i="7"/>
  <c r="R4" i="7" s="1"/>
  <c r="P5" i="7"/>
  <c r="R5" i="7" s="1"/>
  <c r="P6" i="7"/>
  <c r="R6" i="7" s="1"/>
  <c r="P7" i="7"/>
  <c r="R7" i="7" s="1"/>
  <c r="P8" i="7"/>
  <c r="R8" i="7" s="1"/>
  <c r="P9" i="7"/>
  <c r="R9" i="7" s="1"/>
  <c r="P10" i="7"/>
  <c r="R10" i="7" s="1"/>
  <c r="P11" i="7"/>
  <c r="R11" i="7" s="1"/>
  <c r="P12" i="7"/>
  <c r="P13" i="7"/>
  <c r="P14" i="7"/>
  <c r="P15" i="7"/>
  <c r="P16" i="7"/>
  <c r="P17" i="7"/>
  <c r="P18" i="7"/>
  <c r="R18" i="7" s="1"/>
  <c r="P19" i="7"/>
  <c r="R19" i="7" s="1"/>
  <c r="P20" i="7"/>
  <c r="R20" i="7" s="1"/>
  <c r="P21" i="7"/>
  <c r="P22" i="7"/>
  <c r="P23" i="7"/>
  <c r="P24" i="7"/>
  <c r="R24" i="7" s="1"/>
  <c r="P25" i="7"/>
  <c r="R25" i="7" s="1"/>
  <c r="P26" i="7"/>
  <c r="R26" i="7" s="1"/>
  <c r="P27" i="7"/>
  <c r="P28" i="7"/>
  <c r="P29" i="7"/>
  <c r="P30" i="7"/>
  <c r="P31" i="7"/>
  <c r="P32" i="7"/>
  <c r="R32" i="7" s="1"/>
  <c r="P33" i="7"/>
  <c r="R33" i="7" s="1"/>
  <c r="P34" i="7"/>
  <c r="R34" i="7" s="1"/>
  <c r="P35" i="7"/>
  <c r="R35" i="7" s="1"/>
  <c r="P36" i="7"/>
  <c r="P37" i="7"/>
  <c r="P38" i="7"/>
  <c r="P39" i="7"/>
  <c r="R39" i="7" s="1"/>
  <c r="P40" i="7"/>
  <c r="P41" i="7"/>
  <c r="P42" i="7"/>
  <c r="P43" i="7"/>
  <c r="R43" i="7" s="1"/>
  <c r="P44" i="7"/>
  <c r="P45" i="7"/>
  <c r="R45" i="7" s="1"/>
  <c r="P46" i="7"/>
  <c r="R46" i="7" s="1"/>
  <c r="P47" i="7"/>
  <c r="P48" i="7"/>
  <c r="P49" i="7"/>
  <c r="R49" i="7" s="1"/>
  <c r="P50" i="7"/>
  <c r="R50" i="7" s="1"/>
  <c r="P51" i="7"/>
  <c r="R51" i="7" s="1"/>
  <c r="P52" i="7"/>
  <c r="R52" i="7" s="1"/>
  <c r="P53" i="7"/>
  <c r="R53" i="7" s="1"/>
  <c r="P54" i="7"/>
  <c r="R54" i="7" s="1"/>
  <c r="P55" i="7"/>
  <c r="P56" i="7"/>
  <c r="R56" i="7" s="1"/>
  <c r="P57" i="7"/>
  <c r="R57" i="7" s="1"/>
  <c r="P58" i="7"/>
  <c r="R58" i="7" s="1"/>
  <c r="P59" i="7"/>
  <c r="R59" i="7" s="1"/>
  <c r="P60" i="7"/>
  <c r="P61" i="7"/>
  <c r="P62" i="7"/>
  <c r="P63" i="7"/>
  <c r="P64" i="7"/>
  <c r="P65" i="7"/>
  <c r="P66" i="7"/>
  <c r="R66" i="7" s="1"/>
  <c r="P67" i="7"/>
  <c r="R67" i="7" s="1"/>
  <c r="P68" i="7"/>
  <c r="R68" i="7" s="1"/>
  <c r="P69" i="7"/>
  <c r="R69" i="7" s="1"/>
  <c r="P70" i="7"/>
  <c r="P71" i="7"/>
  <c r="P72" i="7"/>
  <c r="P73" i="7"/>
  <c r="R73" i="7" s="1"/>
  <c r="P74" i="7"/>
  <c r="R74" i="7" s="1"/>
  <c r="P75" i="7"/>
  <c r="P76" i="7"/>
  <c r="R76" i="7" s="1"/>
  <c r="P77" i="7"/>
  <c r="P78" i="7"/>
  <c r="P79" i="7"/>
  <c r="P80" i="7"/>
  <c r="R80" i="7" s="1"/>
  <c r="P81" i="7"/>
  <c r="R81" i="7" s="1"/>
  <c r="P82" i="7"/>
  <c r="P83" i="7"/>
  <c r="R83" i="7" s="1"/>
  <c r="P84" i="7"/>
  <c r="P85" i="7"/>
  <c r="P86" i="7"/>
  <c r="R86" i="7" s="1"/>
  <c r="P87" i="7"/>
  <c r="P88" i="7"/>
  <c r="P89" i="7"/>
  <c r="R89" i="7" s="1"/>
  <c r="P90" i="7"/>
  <c r="P91" i="7"/>
  <c r="R91" i="7" s="1"/>
  <c r="P92" i="7"/>
  <c r="R92" i="7" s="1"/>
  <c r="P93" i="7"/>
  <c r="P94" i="7"/>
  <c r="P95" i="7"/>
  <c r="R95" i="7" s="1"/>
  <c r="P96" i="7"/>
  <c r="P97" i="7"/>
  <c r="P98" i="7"/>
  <c r="R98" i="7" s="1"/>
  <c r="P99" i="7"/>
  <c r="R99" i="7" s="1"/>
  <c r="P100" i="7"/>
  <c r="R100" i="7" s="1"/>
  <c r="P101" i="7"/>
  <c r="R101" i="7" s="1"/>
  <c r="P102" i="7"/>
  <c r="R102" i="7" s="1"/>
  <c r="P103" i="7"/>
  <c r="R103" i="7" s="1"/>
  <c r="P104" i="7"/>
  <c r="R104" i="7" s="1"/>
  <c r="P105" i="7"/>
  <c r="R105" i="7" s="1"/>
  <c r="P106" i="7"/>
  <c r="R106" i="7" s="1"/>
  <c r="P107" i="7"/>
  <c r="R107" i="7" s="1"/>
  <c r="P108" i="7"/>
  <c r="P109" i="7"/>
  <c r="P110" i="7"/>
  <c r="P111" i="7"/>
  <c r="P112" i="7"/>
  <c r="P113" i="7"/>
  <c r="P114" i="7"/>
  <c r="P115" i="7"/>
  <c r="P116" i="7"/>
  <c r="R116" i="7" s="1"/>
  <c r="P117" i="7"/>
  <c r="P118" i="7"/>
  <c r="P119" i="7"/>
  <c r="R119" i="7" s="1"/>
  <c r="P120" i="7"/>
  <c r="P121" i="7"/>
  <c r="R121" i="7" s="1"/>
  <c r="P122" i="7"/>
  <c r="R122" i="7" s="1"/>
  <c r="P123" i="7"/>
  <c r="R123" i="7" s="1"/>
  <c r="P124" i="7"/>
  <c r="R124" i="7" s="1"/>
  <c r="P125" i="7"/>
  <c r="P126" i="7"/>
  <c r="R126" i="7" s="1"/>
  <c r="P127" i="7"/>
  <c r="P128" i="7"/>
  <c r="R128" i="7" s="1"/>
  <c r="P129" i="7"/>
  <c r="R129" i="7" s="1"/>
  <c r="P130" i="7"/>
  <c r="R130" i="7" s="1"/>
  <c r="P131" i="7"/>
  <c r="R131" i="7" s="1"/>
  <c r="P132" i="7"/>
  <c r="P133" i="7"/>
  <c r="P134" i="7"/>
  <c r="P135" i="7"/>
  <c r="P136" i="7"/>
  <c r="R136" i="7" s="1"/>
  <c r="P137" i="7"/>
  <c r="R137" i="7" s="1"/>
  <c r="P138" i="7"/>
  <c r="R138" i="7" s="1"/>
  <c r="P139" i="7"/>
  <c r="R139" i="7" s="1"/>
  <c r="P140" i="7"/>
  <c r="P141" i="7"/>
  <c r="R141" i="7" s="1"/>
  <c r="P142" i="7"/>
  <c r="P143" i="7"/>
  <c r="P144" i="7"/>
  <c r="R144" i="7" s="1"/>
  <c r="P145" i="7"/>
  <c r="P146" i="7"/>
  <c r="R146" i="7" s="1"/>
  <c r="P147" i="7"/>
  <c r="R147" i="7" s="1"/>
  <c r="P148" i="7"/>
  <c r="P149" i="7"/>
  <c r="P150" i="7"/>
  <c r="P151" i="7"/>
  <c r="P152" i="7"/>
  <c r="R152" i="7" s="1"/>
  <c r="P153" i="7"/>
  <c r="R153" i="7" s="1"/>
  <c r="P154" i="7"/>
  <c r="R154" i="7" s="1"/>
  <c r="P155" i="7"/>
  <c r="R155" i="7" s="1"/>
  <c r="P156" i="7"/>
  <c r="P157" i="7"/>
  <c r="P158" i="7"/>
  <c r="P159" i="7"/>
  <c r="P160" i="7"/>
  <c r="R160" i="7" s="1"/>
  <c r="P161" i="7"/>
  <c r="R161" i="7" s="1"/>
  <c r="P162" i="7"/>
  <c r="P163" i="7"/>
  <c r="R163" i="7" s="1"/>
  <c r="P164" i="7"/>
  <c r="R164" i="7" s="1"/>
  <c r="P165" i="7"/>
  <c r="P166" i="7"/>
  <c r="P167" i="7"/>
  <c r="R167" i="7" s="1"/>
  <c r="P168" i="7"/>
  <c r="R168" i="7" s="1"/>
  <c r="P169" i="7"/>
  <c r="R169" i="7" s="1"/>
  <c r="P170" i="7"/>
  <c r="R170" i="7" s="1"/>
  <c r="P171" i="7"/>
  <c r="P172" i="7"/>
  <c r="R172" i="7" s="1"/>
  <c r="P173" i="7"/>
  <c r="P174" i="7"/>
  <c r="P175" i="7"/>
  <c r="P176" i="7"/>
  <c r="P177" i="7"/>
  <c r="R177" i="7" s="1"/>
  <c r="P178" i="7"/>
  <c r="R178" i="7" s="1"/>
  <c r="P179" i="7"/>
  <c r="R179" i="7" s="1"/>
  <c r="P180" i="7"/>
  <c r="R180" i="7" s="1"/>
  <c r="P181" i="7"/>
  <c r="P182" i="7"/>
  <c r="R182" i="7" s="1"/>
  <c r="P183" i="7"/>
  <c r="R183" i="7" s="1"/>
  <c r="P184" i="7"/>
  <c r="R184" i="7" s="1"/>
  <c r="P185" i="7"/>
  <c r="R185" i="7" s="1"/>
  <c r="P186" i="7"/>
  <c r="P187" i="7"/>
  <c r="R187" i="7" s="1"/>
  <c r="P188" i="7"/>
  <c r="P189" i="7"/>
  <c r="P190" i="7"/>
  <c r="P191" i="7"/>
  <c r="P192" i="7"/>
  <c r="R192" i="7" s="1"/>
  <c r="P193" i="7"/>
  <c r="R193" i="7" s="1"/>
  <c r="P194" i="7"/>
  <c r="R194" i="7" s="1"/>
  <c r="P195" i="7"/>
  <c r="R195" i="7" s="1"/>
  <c r="P196" i="7"/>
  <c r="R196" i="7" s="1"/>
  <c r="P197" i="7"/>
  <c r="P198" i="7"/>
  <c r="R198" i="7" s="1"/>
  <c r="P199" i="7"/>
  <c r="P200" i="7"/>
  <c r="R200" i="7" s="1"/>
  <c r="P201" i="7"/>
  <c r="R201" i="7" s="1"/>
  <c r="P202" i="7"/>
  <c r="R202" i="7" s="1"/>
  <c r="P203" i="7"/>
  <c r="R203" i="7" s="1"/>
  <c r="P204" i="7"/>
  <c r="R204" i="7" s="1"/>
  <c r="P205" i="7"/>
  <c r="P206" i="7"/>
  <c r="R206" i="7" s="1"/>
  <c r="P207" i="7"/>
  <c r="R207" i="7" s="1"/>
  <c r="P208" i="7"/>
  <c r="R208" i="7" s="1"/>
  <c r="P209" i="7"/>
  <c r="P210" i="7"/>
  <c r="R210" i="7" s="1"/>
  <c r="P211" i="7"/>
  <c r="R211" i="7" s="1"/>
  <c r="P212" i="7"/>
  <c r="R212" i="7" s="1"/>
  <c r="P213" i="7"/>
  <c r="P214" i="7"/>
  <c r="P215" i="7"/>
  <c r="R215" i="7" s="1"/>
  <c r="P216" i="7"/>
  <c r="R216" i="7" s="1"/>
  <c r="P217" i="7"/>
  <c r="P218" i="7"/>
  <c r="R218" i="7" s="1"/>
  <c r="P219" i="7"/>
  <c r="P220" i="7"/>
  <c r="P221" i="7"/>
  <c r="P222" i="7"/>
  <c r="P223" i="7"/>
  <c r="P224" i="7"/>
  <c r="R224" i="7" s="1"/>
  <c r="P225" i="7"/>
  <c r="R225" i="7" s="1"/>
  <c r="P226" i="7"/>
  <c r="R226" i="7" s="1"/>
  <c r="P227" i="7"/>
  <c r="R227" i="7" s="1"/>
  <c r="P228" i="7"/>
  <c r="P229" i="7"/>
  <c r="P230" i="7"/>
  <c r="R230" i="7" s="1"/>
  <c r="P231" i="7"/>
  <c r="P232" i="7"/>
  <c r="R232" i="7" s="1"/>
  <c r="P233" i="7"/>
  <c r="R233" i="7" s="1"/>
  <c r="P234" i="7"/>
  <c r="R234" i="7" s="1"/>
  <c r="P235" i="7"/>
  <c r="R235" i="7" s="1"/>
  <c r="P236" i="7"/>
  <c r="R236" i="7" s="1"/>
  <c r="P237" i="7"/>
  <c r="R237" i="7" s="1"/>
  <c r="P238" i="7"/>
  <c r="R238" i="7" s="1"/>
  <c r="P239" i="7"/>
  <c r="P240" i="7"/>
  <c r="P241" i="7"/>
  <c r="P242" i="7"/>
  <c r="R242" i="7" s="1"/>
  <c r="P243" i="7"/>
  <c r="R243" i="7" s="1"/>
  <c r="P244" i="7"/>
  <c r="R244" i="7" s="1"/>
  <c r="P245" i="7"/>
  <c r="P246" i="7"/>
  <c r="R246" i="7" s="1"/>
  <c r="P247" i="7"/>
  <c r="R247" i="7" s="1"/>
  <c r="P248" i="7"/>
  <c r="R248" i="7" s="1"/>
  <c r="P249" i="7"/>
  <c r="R249" i="7" s="1"/>
  <c r="P250" i="7"/>
  <c r="R250" i="7" s="1"/>
  <c r="P251" i="7"/>
  <c r="R251" i="7" s="1"/>
  <c r="P252" i="7"/>
  <c r="P253" i="7"/>
  <c r="P254" i="7"/>
  <c r="R254" i="7" s="1"/>
  <c r="P255" i="7"/>
  <c r="P256" i="7"/>
  <c r="R256" i="7" s="1"/>
  <c r="P257" i="7"/>
  <c r="R257" i="7" s="1"/>
  <c r="P258" i="7"/>
  <c r="P259" i="7"/>
  <c r="P260" i="7"/>
  <c r="P261" i="7"/>
  <c r="P262" i="7"/>
  <c r="R262" i="7" s="1"/>
  <c r="P263" i="7"/>
  <c r="R263" i="7" s="1"/>
  <c r="P264" i="7"/>
  <c r="R264" i="7" s="1"/>
  <c r="P265" i="7"/>
  <c r="P266" i="7"/>
  <c r="R266" i="7" s="1"/>
  <c r="P267" i="7"/>
  <c r="R267" i="7" s="1"/>
  <c r="P268" i="7"/>
  <c r="R268" i="7" s="1"/>
  <c r="P269" i="7"/>
  <c r="R269" i="7" s="1"/>
  <c r="P270" i="7"/>
  <c r="P271" i="7"/>
  <c r="P272" i="7"/>
  <c r="P273" i="7"/>
  <c r="R273" i="7" s="1"/>
  <c r="P274" i="7"/>
  <c r="R274" i="7" s="1"/>
  <c r="P275" i="7"/>
  <c r="R275" i="7" s="1"/>
  <c r="P276" i="7"/>
  <c r="P277" i="7"/>
  <c r="R277" i="7" s="1"/>
  <c r="P278" i="7"/>
  <c r="P279" i="7"/>
  <c r="P280" i="7"/>
  <c r="R280" i="7" s="1"/>
  <c r="P281" i="7"/>
  <c r="R281" i="7" s="1"/>
  <c r="P282" i="7"/>
  <c r="R282" i="7" s="1"/>
  <c r="P283" i="7"/>
  <c r="R283" i="7" s="1"/>
  <c r="P284" i="7"/>
  <c r="R284" i="7" s="1"/>
  <c r="P285" i="7"/>
  <c r="P286" i="7"/>
  <c r="P287" i="7"/>
  <c r="R287" i="7" s="1"/>
  <c r="P288" i="7"/>
  <c r="R288" i="7" s="1"/>
  <c r="P289" i="7"/>
  <c r="R289" i="7" s="1"/>
  <c r="P290" i="7"/>
  <c r="R290" i="7" s="1"/>
  <c r="P291" i="7"/>
  <c r="R291" i="7" s="1"/>
  <c r="P292" i="7"/>
  <c r="P293" i="7"/>
  <c r="P294" i="7"/>
  <c r="P295" i="7"/>
  <c r="R295" i="7" s="1"/>
  <c r="P296" i="7"/>
  <c r="P297" i="7"/>
  <c r="P298" i="7"/>
  <c r="R298" i="7" s="1"/>
  <c r="P299" i="7"/>
  <c r="R299" i="7" s="1"/>
  <c r="P300" i="7"/>
  <c r="R300" i="7" s="1"/>
  <c r="P301" i="7"/>
  <c r="R72" i="7"/>
  <c r="R96" i="7"/>
  <c r="R97" i="7"/>
  <c r="R114" i="7"/>
  <c r="R115" i="7"/>
  <c r="R145" i="7"/>
  <c r="R151" i="7"/>
  <c r="R217" i="7"/>
  <c r="R240" i="7"/>
  <c r="R241" i="7"/>
  <c r="R253" i="7"/>
  <c r="R271" i="7"/>
  <c r="R94" i="7"/>
  <c r="R127" i="7"/>
  <c r="R156" i="7"/>
  <c r="R252" i="7"/>
  <c r="R276" i="7"/>
  <c r="R70" i="7"/>
  <c r="R71" i="7"/>
  <c r="R3" i="7"/>
  <c r="R13" i="7"/>
  <c r="R16" i="7"/>
  <c r="R17" i="7"/>
  <c r="R21" i="7"/>
  <c r="R22" i="7"/>
  <c r="R28" i="7"/>
  <c r="R29" i="7"/>
  <c r="R37" i="7"/>
  <c r="R40" i="7"/>
  <c r="R42" i="7"/>
  <c r="R47" i="7"/>
  <c r="R48" i="7"/>
  <c r="R60" i="7"/>
  <c r="R61" i="7"/>
  <c r="R62" i="7"/>
  <c r="R64" i="7"/>
  <c r="R77" i="7"/>
  <c r="R84" i="7"/>
  <c r="R85" i="7"/>
  <c r="R88" i="7"/>
  <c r="R90" i="7"/>
  <c r="R93" i="7"/>
  <c r="R108" i="7"/>
  <c r="R110" i="7"/>
  <c r="R111" i="7"/>
  <c r="R118" i="7"/>
  <c r="R125" i="7"/>
  <c r="R133" i="7"/>
  <c r="R134" i="7"/>
  <c r="R148" i="7"/>
  <c r="R166" i="7"/>
  <c r="R171" i="7"/>
  <c r="R173" i="7"/>
  <c r="R174" i="7"/>
  <c r="R205" i="7"/>
  <c r="R219" i="7"/>
  <c r="R220" i="7"/>
  <c r="R221" i="7"/>
  <c r="R229" i="7"/>
  <c r="R258" i="7"/>
  <c r="R261" i="7"/>
  <c r="R279" i="7"/>
  <c r="R285" i="7"/>
  <c r="R286" i="7"/>
  <c r="R292" i="7"/>
  <c r="R293" i="7"/>
  <c r="R301" i="7"/>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s="1"/>
  <c r="J165" i="2" a="1"/>
  <c r="J165" i="2" s="1"/>
  <c r="J166" i="2" a="1"/>
  <c r="J166" i="2" s="1"/>
  <c r="J167" i="2" a="1"/>
  <c r="J167" i="2" s="1"/>
  <c r="J168" i="2" a="1"/>
  <c r="J168" i="2" s="1"/>
  <c r="J169" i="2" a="1"/>
  <c r="J169" i="2" s="1"/>
  <c r="J170" i="2" a="1"/>
  <c r="J170" i="2" s="1"/>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E31" i="14"/>
  <c r="K22" i="14"/>
  <c r="R36" i="7"/>
  <c r="R41" i="7"/>
  <c r="R55" i="7"/>
  <c r="R65" i="7"/>
  <c r="R82" i="7"/>
  <c r="R109" i="7"/>
  <c r="R113" i="7"/>
  <c r="R117" i="7"/>
  <c r="R120" i="7"/>
  <c r="R132" i="7"/>
  <c r="R142" i="7"/>
  <c r="R162" i="7"/>
  <c r="R181" i="7"/>
  <c r="R186" i="7"/>
  <c r="R190" i="7"/>
  <c r="R197" i="7"/>
  <c r="R209" i="7"/>
  <c r="R214" i="7"/>
  <c r="R222" i="7"/>
  <c r="R294" i="7"/>
  <c r="R12" i="7"/>
  <c r="R15" i="7"/>
  <c r="R27" i="7"/>
  <c r="R63" i="7"/>
  <c r="R75" i="7"/>
  <c r="F9" i="13" a="1"/>
  <c r="F9" i="13" s="1"/>
  <c r="F10" i="13" a="1"/>
  <c r="F10" i="13" s="1"/>
  <c r="F11" i="13" a="1"/>
  <c r="F11" i="13" s="1"/>
  <c r="F8" i="13" a="1"/>
  <c r="F8" i="13" s="1"/>
  <c r="E8" i="13"/>
  <c r="E11" i="13"/>
  <c r="E10" i="13"/>
  <c r="E9" i="13"/>
  <c r="I5"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7" i="2"/>
  <c r="I6" i="2"/>
  <c r="AQ21" i="1"/>
  <c r="AQ20" i="1"/>
  <c r="AQ19" i="1"/>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E33" i="14"/>
  <c r="E32" i="14"/>
  <c r="E30" i="14"/>
  <c r="F65" i="12"/>
  <c r="E22" i="4"/>
  <c r="C22" i="4"/>
  <c r="D22" i="4"/>
  <c r="F22" i="4"/>
  <c r="D15" i="4"/>
  <c r="E15" i="4"/>
  <c r="C15" i="4"/>
  <c r="G16" i="16" l="1"/>
  <c r="G69" i="14" a="1"/>
  <c r="G69" i="14" s="1"/>
  <c r="AE70" i="14" a="1"/>
  <c r="AE70" i="14" s="1"/>
  <c r="P68" i="14" a="1"/>
  <c r="P68" i="14" s="1"/>
  <c r="E14" i="13"/>
  <c r="G50" i="12"/>
  <c r="M52" i="11"/>
  <c r="M53" i="11"/>
  <c r="M51" i="11"/>
  <c r="M50" i="11"/>
  <c r="R270" i="7"/>
  <c r="R150" i="7"/>
  <c r="R78" i="7"/>
  <c r="R30" i="7"/>
  <c r="R245" i="7"/>
  <c r="R149" i="7"/>
  <c r="R191" i="7"/>
  <c r="R143" i="7"/>
  <c r="R140" i="7"/>
  <c r="R260" i="7"/>
  <c r="R188" i="7"/>
  <c r="R228" i="7"/>
  <c r="R297" i="7"/>
  <c r="R296" i="7"/>
  <c r="R265" i="7"/>
  <c r="R239" i="7"/>
  <c r="R23" i="7"/>
  <c r="R189" i="7"/>
  <c r="R44" i="7"/>
  <c r="R259" i="7"/>
  <c r="R272" i="7"/>
  <c r="R176" i="7"/>
  <c r="R175" i="7"/>
  <c r="R231" i="7"/>
  <c r="R159" i="7"/>
  <c r="R135" i="7"/>
  <c r="R87" i="7"/>
  <c r="R255" i="7"/>
  <c r="P18" i="12"/>
  <c r="Q18" i="12"/>
  <c r="R18"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110BB-AA3D-4A99-8CF5-9E3B81237597}" keepAlive="1" name="Query - Table1 (3)" description="Connection to the 'Table1 (3)' query in the workbook." type="5" refreshedVersion="7" background="1" saveData="1">
    <dbPr connection="Provider=Microsoft.Mashup.OleDb.1;Data Source=$Workbook$;Location=&quot;Table1 (3)&quot;;Extended Properties=&quot;&quot;" command="SELECT * FROM [Table1 (3)]"/>
  </connection>
  <connection id="2" xr16:uid="{8980F70B-5704-49A5-B8C1-9711C771E51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554D70C-45A8-432B-8BFC-8896350FBDE7}" name="WorksheetConnection_Spotify social media performace data .xlsx!Table1__4" type="102" refreshedVersion="7" minRefreshableVersion="5">
    <extLst>
      <ext xmlns:x15="http://schemas.microsoft.com/office/spreadsheetml/2010/11/main" uri="{DE250136-89BD-433C-8126-D09CA5730AF9}">
        <x15:connection id="Table1__4">
          <x15:rangePr sourceName="_xlcn.WorksheetConnection_Spotifysocialmediaperformacedata.xlsxTable1__41"/>
        </x15:connection>
      </ext>
    </extLst>
  </connection>
  <connection id="4" xr16:uid="{5BCC5A49-AAB6-4409-B867-435A29E44C55}" name="WorksheetConnection_Spotify social media performace data .xlsx!Table2" type="102" refreshedVersion="7" minRefreshableVersion="5">
    <extLst>
      <ext xmlns:x15="http://schemas.microsoft.com/office/spreadsheetml/2010/11/main" uri="{DE250136-89BD-433C-8126-D09CA5730AF9}">
        <x15:connection id="Table2">
          <x15:rangePr sourceName="_xlcn.WorksheetConnection_Spotifysocialmediaperformacedata.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<sst xmlns="http://schemas.openxmlformats.org/spreadsheetml/2006/main" count="4445" uniqueCount="450">
  <si>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</si>
  <si>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</si>
  <si>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</si>
  <si>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</si>
  <si>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</si>
  <si>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</si>
  <si>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</si>
  <si>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</si>
  <si>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</si>
  <si>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</si>
  <si>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</si>
  <si>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</si>
  <si>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</si>
  <si>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</si>
  <si>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</si>
  <si>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</si>
  <si>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</si>
  <si>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</si>
  <si>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</si>
  <si>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</si>
  <si>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</si>
  <si>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</si>
  <si>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</si>
  <si>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</si>
  <si>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</si>
  <si>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</si>
  <si>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</si>
  <si>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</si>
  <si>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</si>
  <si>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</si>
  <si>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</si>
  <si>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</si>
  <si>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</si>
  <si>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</si>
  <si>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</si>
  <si>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</si>
  <si>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</si>
  <si>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</si>
  <si>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</si>
  <si>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</si>
  <si>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</si>
  <si>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</si>
  <si>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</si>
  <si>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</si>
  <si>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</si>
  <si>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</si>
  <si>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</si>
  <si>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</si>
  <si>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</si>
  <si>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</si>
  <si>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</si>
  <si>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</si>
  <si>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</si>
  <si>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</si>
  <si>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</si>
  <si>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</si>
  <si>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</si>
  <si>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</si>
  <si>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</si>
  <si>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</si>
  <si>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</si>
  <si>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</si>
  <si>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</si>
  <si>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</si>
  <si>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</si>
  <si>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</si>
  <si>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</si>
  <si>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</si>
  <si>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</si>
  <si>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</si>
  <si>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</si>
  <si>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</si>
  <si>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</si>
  <si>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</si>
  <si>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</si>
  <si>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</si>
  <si>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</si>
  <si>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</si>
  <si>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</si>
  <si>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</si>
  <si>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</si>
  <si>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</si>
  <si>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</si>
  <si>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</si>
  <si>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</si>
  <si>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</si>
  <si>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</si>
  <si>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</si>
  <si>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</si>
  <si>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</si>
  <si>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</si>
  <si>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</si>
  <si>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</si>
  <si>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</si>
  <si>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</si>
  <si>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</si>
  <si>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</si>
  <si>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</si>
  <si>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</si>
  <si>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</si>
  <si>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</si>
  <si>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</si>
  <si>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</si>
  <si>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</si>
  <si>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</si>
  <si>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</si>
  <si>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</si>
  <si>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</si>
  <si>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</si>
  <si>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</si>
  <si>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</si>
  <si>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</si>
  <si>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</si>
  <si>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</si>
  <si>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</si>
  <si>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</si>
  <si>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</si>
  <si>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</si>
  <si>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</si>
  <si>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</si>
  <si>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</si>
  <si>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</si>
  <si>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</si>
  <si>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</si>
  <si>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</si>
  <si>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</si>
  <si>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</si>
  <si>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</si>
  <si>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</si>
  <si>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</si>
  <si>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</si>
  <si>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</si>
  <si>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</si>
  <si>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</si>
  <si>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</si>
  <si>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</si>
  <si>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</si>
  <si>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</si>
  <si>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</si>
  <si>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</si>
  <si>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</si>
  <si>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</si>
  <si>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</si>
  <si>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</si>
  <si>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</si>
  <si>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</si>
  <si>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</si>
  <si>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</si>
  <si>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</si>
  <si>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</si>
  <si>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</si>
  <si>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</si>
  <si>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</si>
  <si>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</si>
  <si>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</si>
  <si>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</si>
  <si>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</si>
  <si>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</si>
  <si>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</si>
  <si>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</si>
  <si>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</si>
  <si>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</si>
  <si>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</si>
  <si>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</si>
  <si>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</si>
  <si>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</si>
  <si>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</si>
  <si>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</si>
  <si>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</si>
  <si>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</si>
  <si>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</si>
  <si>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</si>
  <si>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</si>
  <si>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</si>
  <si>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</si>
  <si>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</si>
  <si>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</si>
  <si>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</si>
  <si>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</si>
  <si>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</si>
  <si>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</si>
  <si>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</si>
  <si>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</si>
  <si>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</si>
  <si>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</si>
  <si>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</si>
  <si>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</si>
  <si>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</si>
  <si>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</si>
  <si>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</si>
  <si>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</si>
  <si>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</si>
  <si>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</si>
  <si>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</si>
  <si>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</si>
  <si>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</si>
  <si>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</si>
  <si>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</si>
  <si>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</si>
  <si>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</si>
  <si>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</si>
  <si>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</si>
  <si>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</si>
  <si>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</si>
  <si>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</si>
  <si>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</si>
  <si>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</si>
  <si>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</si>
  <si>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</si>
  <si>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</si>
  <si>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</si>
  <si>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</si>
  <si>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</si>
  <si>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</si>
  <si>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</si>
  <si>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</si>
  <si>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</si>
  <si>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</si>
  <si>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</si>
  <si>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</si>
  <si>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</si>
  <si>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</si>
  <si>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</si>
  <si>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</si>
  <si>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</si>
  <si>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</si>
  <si>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</si>
  <si>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</si>
  <si>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</si>
  <si>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</si>
  <si>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</si>
  <si>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</si>
  <si>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</si>
  <si>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</si>
  <si>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</si>
  <si>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</si>
  <si>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</si>
  <si>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</si>
  <si>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</si>
  <si>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</si>
  <si>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</si>
  <si>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</si>
  <si>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</si>
  <si>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</si>
  <si>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</si>
  <si>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</si>
  <si>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</si>
  <si>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</si>
  <si>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</si>
  <si>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</si>
  <si>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</si>
  <si>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</si>
  <si>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</si>
  <si>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</si>
  <si>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</si>
  <si>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</si>
  <si>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</si>
  <si>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</si>
  <si>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</si>
  <si>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</si>
  <si>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</si>
  <si>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</si>
  <si>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</si>
  <si>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</si>
  <si>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</si>
  <si>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</si>
  <si>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</si>
  <si>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</si>
  <si>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</si>
  <si>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</si>
  <si>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</si>
  <si>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</si>
  <si>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</si>
  <si>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</si>
  <si>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</si>
  <si>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</si>
  <si>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</si>
  <si>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</si>
  <si>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</si>
  <si>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</si>
  <si>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</si>
  <si>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</si>
  <si>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</si>
  <si>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</si>
  <si>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</si>
  <si>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</si>
  <si>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</si>
  <si>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</si>
  <si>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</si>
  <si>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</si>
  <si>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</si>
  <si>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</si>
  <si>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</si>
  <si>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</si>
  <si>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</si>
  <si>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</si>
  <si>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</si>
  <si>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</si>
  <si>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</si>
  <si>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</si>
  <si>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</si>
  <si>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</si>
  <si>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</si>
  <si>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</si>
  <si>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</si>
  <si>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</si>
  <si>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</si>
  <si>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</si>
  <si>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</si>
  <si>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</si>
  <si>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</si>
  <si>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</si>
  <si>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</si>
  <si>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</si>
  <si>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</si>
  <si>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</si>
  <si>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</si>
  <si>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</si>
  <si>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</si>
  <si>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</si>
  <si>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</si>
  <si>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</si>
  <si>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</si>
  <si>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</si>
  <si>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</si>
  <si>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</si>
  <si>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</si>
  <si>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</si>
  <si>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</si>
  <si>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</si>
  <si>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</si>
  <si>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</si>
  <si>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</si>
  <si>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</si>
  <si>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</si>
  <si>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</si>
  <si>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</si>
  <si>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</si>
  <si>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</si>
  <si>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</si>
  <si>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</si>
  <si>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</si>
  <si>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</si>
  <si>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</si>
  <si>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</si>
  <si>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</si>
  <si>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Primary_Hashtags</t>
  </si>
  <si>
    <t>Brand Awareness</t>
  </si>
  <si>
    <t>Instagram,YouTube</t>
  </si>
  <si>
    <t>#SpotifyWrapped,#MusicForEveryone</t>
  </si>
  <si>
    <t>Engagement</t>
  </si>
  <si>
    <t>Twitter,YouTube</t>
  </si>
  <si>
    <t>#SpotifyWrapped,#NowPlaying</t>
  </si>
  <si>
    <t>Product Launch</t>
  </si>
  <si>
    <t>Instagram,Twitter</t>
  </si>
  <si>
    <t>#ChillVibes,#SoundtrackOfLife</t>
  </si>
  <si>
    <t>Traffic</t>
  </si>
  <si>
    <t>Facebook,Instagram</t>
  </si>
  <si>
    <t>#DiscoverWeekly,#IndieWave</t>
  </si>
  <si>
    <t>Row Labels</t>
  </si>
  <si>
    <t>Grand Total</t>
  </si>
  <si>
    <t>Hashtags Used.1</t>
  </si>
  <si>
    <t>Hashtags Used.2</t>
  </si>
  <si>
    <t>#MusicForEveryone</t>
  </si>
  <si>
    <t>#SpotifyWrapped</t>
  </si>
  <si>
    <t>Column1</t>
  </si>
  <si>
    <t>Sum of Likes</t>
  </si>
  <si>
    <t>Sum of Shares</t>
  </si>
  <si>
    <t>Sum of Comments</t>
  </si>
  <si>
    <t>Sum of Clicks</t>
  </si>
  <si>
    <t>Sum of Impressions</t>
  </si>
  <si>
    <t>Sum of Total_Followers</t>
  </si>
  <si>
    <t>TTL FOLLLOWS</t>
  </si>
  <si>
    <t>INSTA FOLLOW</t>
  </si>
  <si>
    <t>TWITTER FOLLOW</t>
  </si>
  <si>
    <t>YT FOLLOWS</t>
  </si>
  <si>
    <t>LIKES</t>
  </si>
  <si>
    <t>Commentss</t>
  </si>
  <si>
    <t>Sharess</t>
  </si>
  <si>
    <t>Likess</t>
  </si>
  <si>
    <t>COMMENT</t>
  </si>
  <si>
    <t>SHAREe</t>
  </si>
  <si>
    <t>Sum of Engagement_Rate</t>
  </si>
  <si>
    <t>Sum of Ad_Spend</t>
  </si>
  <si>
    <t>Task 2: Engagement Analysis</t>
  </si>
  <si>
    <t>ENGAGEMENT RATE</t>
  </si>
  <si>
    <t>Sum of ENGAGEMENT RATE</t>
  </si>
  <si>
    <r>
      <t xml:space="preserve">         </t>
    </r>
    <r>
      <rPr>
        <sz val="11"/>
        <color theme="1"/>
        <rFont val="Berlin Sans FB Demi"/>
        <family val="2"/>
      </rPr>
      <t>Engagement Rate per platform</t>
    </r>
  </si>
  <si>
    <r>
      <t xml:space="preserve">    </t>
    </r>
    <r>
      <rPr>
        <sz val="11"/>
        <color theme="1"/>
        <rFont val="Arial Black"/>
        <family val="2"/>
      </rPr>
      <t xml:space="preserve">  Identify Top 10 posts by engagement rate </t>
    </r>
  </si>
  <si>
    <t>Sum of Likess</t>
  </si>
  <si>
    <t>Sum of Sharess</t>
  </si>
  <si>
    <t>Sum of Commentss</t>
  </si>
  <si>
    <t>Total Likes, Shares, Comments by Content type and Platform</t>
  </si>
  <si>
    <t xml:space="preserve"> Twitter platform yields highest engagement</t>
  </si>
  <si>
    <t>3/3/2025 - 3/9/2025</t>
  </si>
  <si>
    <t>3/10/2025 - 3/16/2025</t>
  </si>
  <si>
    <t>3/17/2025 - 3/23/2025</t>
  </si>
  <si>
    <t>3/24/2025 - 3/30/2025</t>
  </si>
  <si>
    <t>3/31/2025 - 4/6/2025</t>
  </si>
  <si>
    <t xml:space="preserve"> Visualize Ad Spend vs. Engagement using charts</t>
  </si>
  <si>
    <t>Compare weekly follower growth rates across platforms</t>
  </si>
  <si>
    <t>Task 3: Platform Performance Analysis</t>
  </si>
  <si>
    <t>Youtube</t>
  </si>
  <si>
    <t xml:space="preserve">insta+twitter engagement rate </t>
  </si>
  <si>
    <t>Weekly groth rate</t>
  </si>
  <si>
    <t>Sum of Weekly groth rate</t>
  </si>
  <si>
    <t>Average Weekly Growth Rate of Platforms</t>
  </si>
  <si>
    <t xml:space="preserve">Most frequent hashtags and average engagement for each </t>
  </si>
  <si>
    <t xml:space="preserve">All Hastags </t>
  </si>
  <si>
    <t># Usage Count</t>
  </si>
  <si>
    <t>Engagement Rate Avg</t>
  </si>
  <si>
    <t>Most used hashtag #</t>
  </si>
  <si>
    <t>Column Labels</t>
  </si>
  <si>
    <t>Average of Impressions</t>
  </si>
  <si>
    <t>Text, Story,Reel performance across platforms</t>
  </si>
  <si>
    <t xml:space="preserve">Optimal Content Type-Platform Combinations </t>
  </si>
  <si>
    <t>Average of Likess</t>
  </si>
  <si>
    <t>Average of Clicks</t>
  </si>
  <si>
    <t>status of cmpign</t>
  </si>
  <si>
    <t>After</t>
  </si>
  <si>
    <t>Before</t>
  </si>
  <si>
    <t>During</t>
  </si>
  <si>
    <t>Average of ENGAGEMENT RATE</t>
  </si>
  <si>
    <t>Engagement uplift  during vs. before campaign</t>
  </si>
  <si>
    <t>uplift</t>
  </si>
  <si>
    <t>Hastags</t>
  </si>
  <si>
    <t>campign name</t>
  </si>
  <si>
    <t>No Campign</t>
  </si>
  <si>
    <t>Sum of ROI</t>
  </si>
  <si>
    <t>ROI</t>
  </si>
  <si>
    <t>net followers grth</t>
  </si>
  <si>
    <t>Sum of net followers grth</t>
  </si>
  <si>
    <t>correlation</t>
  </si>
  <si>
    <t xml:space="preserve">week with highest net follower gain </t>
  </si>
  <si>
    <t>Engagement Rate:</t>
  </si>
  <si>
    <t>Sum of Engagement Rate:</t>
  </si>
  <si>
    <t>Avg Clicks</t>
  </si>
  <si>
    <t>#Hastags</t>
  </si>
  <si>
    <t xml:space="preserve">Average Clicks per post by Hashtag </t>
  </si>
  <si>
    <t>Rank</t>
  </si>
  <si>
    <t>Avg Reach</t>
  </si>
  <si>
    <t xml:space="preserve"> Highlight Top-performing hashtags using ranking formulas </t>
  </si>
  <si>
    <t xml:space="preserve">Recommend focusing on 1–2 platforms or continuing multi-platform  justify with data </t>
  </si>
  <si>
    <t xml:space="preserve">Evaluate: Campaign With Highest ROI </t>
  </si>
  <si>
    <t>Evaluate: Campaign With Strongest Follower Growth</t>
  </si>
  <si>
    <t xml:space="preserve">Compute: Engagement uplift during vs. before campaign </t>
  </si>
  <si>
    <t>Compute: Total &amp; average impressions, likes, clicks per campaign</t>
  </si>
  <si>
    <t xml:space="preserve">Identify week with highest net follower gain </t>
  </si>
  <si>
    <t xml:space="preserve">Moving average chart to analyze follower trends </t>
  </si>
  <si>
    <t>Correlation between Ad Spend vs. Follower Growth/App Downloads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</si>
</sst>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0.0,,&quot;M&quot;"/>
    <numFmt numFmtId="166" formatCode="0.0,&quot;K&quot;"/>
    <numFmt numFmtId="167" formatCode="[$₹-4009]\ #,##0.00"/>
    <numFmt numFmtId="168" formatCode="[$₹-4009]\ #,##0"/>
    <numFmt numFmtId="169" formatCode="0.000000000"/>
  </numFmts>
  <fonts count="3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theme="1"/>
      <name val="Calibri"/>
    </font>
    <font>
      <sz val="11"/>
      <color theme="1"/>
      <name val="Calibri"/>
      <scheme val="minor"/>
    </font>
    <font>
      <sz val="11"/>
      <color rgb="FF9C5700"/>
      <name val="Calibri"/>
      <family val="2"/>
      <scheme val="minor"/>
    </font>
    <font>
      <sz val="16"/>
      <color rgb="FF9C5700"/>
      <name val="Arial Black"/>
      <family val="2"/>
    </font>
    <font>
      <sz val="11"/>
      <color theme="1"/>
      <name val="Arial Black"/>
      <family val="2"/>
    </font>
    <font>
      <sz val="11"/>
      <color theme="1"/>
      <name val="Berlin Sans FB Demi"/>
      <family val="2"/>
    </font>
    <font>
      <sz val="20"/>
      <color theme="1"/>
      <name val="Arial Black"/>
      <family val="2"/>
    </font>
    <font>
      <b/>
      <sz val="11"/>
      <color theme="1"/>
      <name val="Calibri"/>
      <family val="2"/>
      <scheme val="minor"/>
    </font>
    <font>
      <sz val="12"/>
      <color theme="1"/>
      <name val="Calibri"/>
      <family val="2"/>
      <scheme val="minor"/>
    </font>
    <font>
      <b/>
      <sz val="16"/>
      <color theme="1"/>
      <name val="Calibri"/>
      <family val="2"/>
      <scheme val="minor"/>
    </font>
    <font>
      <b/>
      <sz val="11"/>
      <name val="Calibri"/>
      <family val="2"/>
      <scheme val="minor"/>
    </font>
    <font>
      <sz val="11"/>
      <color rgb="FF006100"/>
      <name val="Calibri"/>
      <family val="2"/>
      <scheme val="minor"/>
    </font>
    <font>
      <sz val="11"/>
      <color rgb="FF9C0006"/>
      <name val="Calibri"/>
      <family val="2"/>
      <scheme val="minor"/>
    </font>
    <font>
      <sz val="22"/>
      <color theme="3"/>
      <name val="Bahnschrift Condensed"/>
      <family val="2"/>
    </font>
    <font>
      <sz val="8"/>
      <name val="Calibri"/>
      <family val="2"/>
      <scheme val="minor"/>
    </font>
    <font>
      <b/>
      <sz val="14"/>
      <color theme="1"/>
      <name val="Calibri"/>
      <family val="2"/>
      <scheme val="minor"/>
    </font>
    <font>
      <b/>
      <sz val="24"/>
      <color theme="1"/>
      <name val="Bahnschrift Condensed"/>
      <family val="2"/>
    </font>
    <font>
      <sz val="22"/>
      <color theme="1"/>
      <name val="Bahnschrift Condensed"/>
      <family val="2"/>
    </font>
    <font>
      <sz val="8"/>
      <name val="Calibri"/>
      <scheme val="minor"/>
    </font>
    <font>
      <sz val="14"/>
      <color theme="1"/>
      <name val="Bahnschrift Condensed"/>
      <family val="2"/>
    </font>
    <font>
      <sz val="14"/>
      <color theme="1"/>
      <name val="Calibri"/>
      <family val="2"/>
      <scheme val="minor"/>
    </font>
    <font>
      <b/>
      <sz val="22"/>
      <color theme="1"/>
      <name val="Calibri"/>
      <family val="2"/>
      <scheme val="minor"/>
    </font>
    <font>
      <b/>
      <sz val="11"/>
      <color theme="1"/>
      <name val="Calibri"/>
      <scheme val="minor"/>
    </font>
    <font>
      <b/>
      <sz val="20"/>
      <color theme="1"/>
      <name val="Calibri"/>
      <family val="2"/>
      <scheme val="minor"/>
    </font>
  </fonts>
  <fills count="9">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BEFEC6"/>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s>
  <borders count="19">
    <border>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theme="4"/>
      </top>
      <bottom style="thin">
        <color theme="4"/>
      </bottom>
      <diagonal/>
    </border>
    <border>
      <left/>
      <right/>
      <top style="thin">
        <color theme="4"/>
      </top>
      <bottom/>
      <diagonal/>
    </border>
  </borders>
  <cellStyleXfs count="5">
    <xf numFmtId="0" fontId="0" fillId="0" borderId="0"/>
    <xf numFmtId="0" fontId="13" fillId="2"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9" fontId="12" fillId="0" borderId="0" applyFont="0" applyFill="0" applyBorder="0" applyAlignment="0" applyProtection="0"/>
  </cellStyleXfs>
  <cellXfs count="168">
    <xf numFmtId="0" fontId="0" fillId="0" borderId="0" xfId="0" applyFont="1" applyAlignment="1"/>
    <xf numFmtId="0" fontId="10" fillId="0" borderId="0" xfId="0" applyFont="1" applyAlignment="1"/>
    <xf numFmtId="0" fontId="12" fillId="0" borderId="0" xfId="0" applyFont="1"/>
    <xf numFmtId="0" fontId="11" fillId="0" borderId="1" xfId="0" applyFont="1" applyBorder="1" applyAlignment="1">
      <alignment horizontal="center" vertical="top"/>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2" fontId="10" fillId="0" borderId="0" xfId="0" applyNumberFormat="1" applyFont="1" applyAlignment="1"/>
    <xf numFmtId="2" fontId="10" fillId="0" borderId="0" xfId="0" applyNumberFormat="1" applyFont="1" applyAlignment="1">
      <alignment horizontal="right"/>
    </xf>
    <xf numFmtId="164" fontId="10" fillId="0" borderId="0" xfId="0" applyNumberFormat="1" applyFont="1" applyAlignment="1">
      <alignment horizontal="right"/>
    </xf>
    <xf numFmtId="2" fontId="11" fillId="0" borderId="1" xfId="0" applyNumberFormat="1" applyFont="1" applyBorder="1" applyAlignment="1">
      <alignment horizontal="center" vertical="top"/>
    </xf>
    <xf numFmtId="2" fontId="12" fillId="0" borderId="0" xfId="0" applyNumberFormat="1" applyFont="1"/>
    <xf numFmtId="0" fontId="9" fillId="0" borderId="0" xfId="0" applyNumberFormat="1" applyFont="1" applyAlignment="1"/>
    <xf numFmtId="10" fontId="0" fillId="0" borderId="0" xfId="0" applyNumberFormat="1" applyFont="1" applyAlignment="1"/>
    <xf numFmtId="0" fontId="8" fillId="0" borderId="0" xfId="0" applyFont="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0" xfId="0" applyFont="1" applyBorder="1" applyAlignment="1"/>
    <xf numFmtId="0" fontId="0" fillId="0" borderId="6" xfId="0" applyFont="1" applyBorder="1" applyAlignment="1"/>
    <xf numFmtId="0" fontId="8" fillId="0" borderId="0" xfId="0" applyFont="1" applyBorder="1" applyAlignment="1"/>
    <xf numFmtId="165" fontId="0" fillId="0" borderId="0" xfId="0" applyNumberFormat="1"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8" fillId="0" borderId="6" xfId="0" applyFont="1" applyBorder="1" applyAlignment="1"/>
    <xf numFmtId="165" fontId="0" fillId="0" borderId="6" xfId="0" applyNumberFormat="1" applyFont="1" applyBorder="1" applyAlignment="1"/>
    <xf numFmtId="2" fontId="8" fillId="0" borderId="0" xfId="0" applyNumberFormat="1" applyFont="1" applyAlignment="1"/>
    <xf numFmtId="166" fontId="0" fillId="0" borderId="0" xfId="0" applyNumberFormat="1" applyFont="1" applyAlignment="1"/>
    <xf numFmtId="0" fontId="7" fillId="0" borderId="0" xfId="0" applyFont="1" applyAlignment="1"/>
    <xf numFmtId="0" fontId="7" fillId="0" borderId="0" xfId="0" applyNumberFormat="1" applyFont="1" applyAlignment="1"/>
    <xf numFmtId="10" fontId="7" fillId="0" borderId="0" xfId="0" applyNumberFormat="1" applyFont="1" applyAlignment="1"/>
    <xf numFmtId="0" fontId="0" fillId="0" borderId="0" xfId="0"/>
    <xf numFmtId="0" fontId="0" fillId="0" borderId="0" xfId="0" pivotButton="1" applyFont="1" applyBorder="1" applyAlignment="1"/>
    <xf numFmtId="0" fontId="0" fillId="0" borderId="0" xfId="0" applyNumberFormat="1" applyFont="1" applyBorder="1" applyAlignment="1"/>
    <xf numFmtId="10" fontId="0" fillId="0" borderId="0" xfId="0" applyNumberFormat="1" applyFont="1" applyBorder="1" applyAlignment="1"/>
    <xf numFmtId="0" fontId="0" fillId="0" borderId="0" xfId="0" applyFont="1" applyFill="1" applyBorder="1" applyAlignment="1"/>
    <xf numFmtId="0" fontId="15" fillId="0" borderId="0" xfId="0" applyFont="1" applyFill="1" applyBorder="1" applyAlignment="1"/>
    <xf numFmtId="0" fontId="0" fillId="0" borderId="8" xfId="0" applyNumberFormat="1" applyFont="1" applyBorder="1" applyAlignment="1"/>
    <xf numFmtId="0" fontId="0" fillId="0" borderId="5" xfId="0" pivotButton="1" applyFont="1" applyBorder="1" applyAlignment="1"/>
    <xf numFmtId="0" fontId="0" fillId="0" borderId="5" xfId="0" applyFont="1" applyBorder="1" applyAlignment="1">
      <alignment horizontal="left"/>
    </xf>
    <xf numFmtId="10" fontId="0" fillId="0" borderId="6" xfId="0" applyNumberFormat="1" applyFont="1" applyBorder="1" applyAlignment="1"/>
    <xf numFmtId="10" fontId="0" fillId="0" borderId="9" xfId="0" applyNumberFormat="1" applyFont="1" applyBorder="1" applyAlignment="1"/>
    <xf numFmtId="10" fontId="7" fillId="0" borderId="0" xfId="0" applyNumberFormat="1" applyFont="1" applyBorder="1" applyAlignment="1"/>
    <xf numFmtId="0" fontId="18" fillId="6" borderId="0" xfId="0" applyFont="1" applyFill="1" applyBorder="1" applyAlignment="1"/>
    <xf numFmtId="0" fontId="0" fillId="0" borderId="6" xfId="0" applyNumberFormat="1" applyFont="1" applyBorder="1" applyAlignment="1"/>
    <xf numFmtId="0" fontId="0" fillId="0" borderId="9" xfId="0" applyNumberFormat="1"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10" xfId="0" pivotButton="1" applyFont="1" applyBorder="1" applyAlignment="1"/>
    <xf numFmtId="0" fontId="0" fillId="0" borderId="11" xfId="0" applyFont="1" applyBorder="1" applyAlignment="1">
      <alignment horizontal="left" indent="1"/>
    </xf>
    <xf numFmtId="0" fontId="0" fillId="0" borderId="13" xfId="0" applyFont="1" applyBorder="1" applyAlignment="1">
      <alignment horizontal="left" indent="1"/>
    </xf>
    <xf numFmtId="0" fontId="0" fillId="0" borderId="10" xfId="0" applyFont="1" applyBorder="1" applyAlignment="1"/>
    <xf numFmtId="0" fontId="0" fillId="0" borderId="2"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7" xfId="0" applyNumberFormat="1" applyFont="1" applyBorder="1" applyAlignment="1"/>
    <xf numFmtId="0" fontId="0" fillId="0" borderId="11" xfId="0" applyFont="1" applyBorder="1" applyAlignment="1">
      <alignment horizontal="left"/>
    </xf>
    <xf numFmtId="0" fontId="0" fillId="0" borderId="12" xfId="0" applyFont="1" applyBorder="1" applyAlignment="1">
      <alignment horizontal="left"/>
    </xf>
    <xf numFmtId="0" fontId="0" fillId="0" borderId="13" xfId="0" applyFont="1" applyBorder="1" applyAlignment="1">
      <alignment horizontal="left"/>
    </xf>
    <xf numFmtId="0" fontId="0" fillId="0" borderId="10" xfId="0" applyFont="1" applyBorder="1" applyAlignment="1">
      <alignment horizontal="left"/>
    </xf>
    <xf numFmtId="0" fontId="0" fillId="0" borderId="14" xfId="0" applyFont="1" applyBorder="1" applyAlignment="1"/>
    <xf numFmtId="0" fontId="0" fillId="0" borderId="15" xfId="0" applyFont="1" applyBorder="1" applyAlignment="1"/>
    <xf numFmtId="0" fontId="6" fillId="0" borderId="0" xfId="0" applyFont="1" applyAlignment="1"/>
    <xf numFmtId="10" fontId="0" fillId="0" borderId="11" xfId="0" applyNumberFormat="1" applyFont="1" applyBorder="1" applyAlignment="1"/>
    <xf numFmtId="10" fontId="0" fillId="0" borderId="12" xfId="0" applyNumberFormat="1" applyFont="1" applyBorder="1" applyAlignment="1"/>
    <xf numFmtId="10" fontId="0" fillId="0" borderId="13" xfId="0" applyNumberFormat="1" applyFont="1" applyBorder="1" applyAlignment="1"/>
    <xf numFmtId="0" fontId="0" fillId="0" borderId="3" xfId="0" applyNumberFormat="1" applyFont="1" applyBorder="1" applyAlignment="1"/>
    <xf numFmtId="0" fontId="0" fillId="0" borderId="16" xfId="0" applyFont="1" applyBorder="1" applyAlignment="1"/>
    <xf numFmtId="167" fontId="10" fillId="0" borderId="0" xfId="0" applyNumberFormat="1" applyFont="1" applyAlignment="1"/>
    <xf numFmtId="167" fontId="10" fillId="0" borderId="0" xfId="0" applyNumberFormat="1" applyFont="1" applyAlignment="1">
      <alignment horizontal="right"/>
    </xf>
    <xf numFmtId="167" fontId="0" fillId="0" borderId="0" xfId="0" applyNumberFormat="1" applyFont="1" applyAlignment="1"/>
    <xf numFmtId="0" fontId="6" fillId="0" borderId="0" xfId="0" applyFont="1" applyBorder="1" applyAlignment="1"/>
    <xf numFmtId="168" fontId="0" fillId="0" borderId="0" xfId="0" applyNumberFormat="1" applyFont="1" applyBorder="1" applyAlignment="1"/>
    <xf numFmtId="0" fontId="6" fillId="6" borderId="0" xfId="0" applyFont="1" applyFill="1" applyBorder="1" applyAlignment="1"/>
    <xf numFmtId="168" fontId="0" fillId="4" borderId="0" xfId="0" applyNumberFormat="1" applyFont="1" applyFill="1" applyBorder="1" applyAlignment="1"/>
    <xf numFmtId="0" fontId="19" fillId="0" borderId="0" xfId="0" applyFont="1" applyBorder="1" applyAlignment="1">
      <alignment vertical="top"/>
    </xf>
    <xf numFmtId="10" fontId="10" fillId="0" borderId="0" xfId="0" applyNumberFormat="1" applyFont="1" applyAlignment="1"/>
    <xf numFmtId="10" fontId="10" fillId="0" borderId="0" xfId="0" applyNumberFormat="1" applyFont="1" applyAlignment="1">
      <alignment horizontal="right"/>
    </xf>
    <xf numFmtId="0" fontId="5" fillId="0" borderId="0" xfId="0" applyFont="1" applyBorder="1" applyAlignment="1"/>
    <xf numFmtId="0" fontId="4" fillId="0" borderId="0" xfId="0" applyNumberFormat="1" applyFont="1" applyBorder="1" applyAlignment="1"/>
    <xf numFmtId="10" fontId="4" fillId="0" borderId="0" xfId="0" applyNumberFormat="1" applyFont="1" applyBorder="1" applyAlignment="1"/>
    <xf numFmtId="0" fontId="4" fillId="0" borderId="0" xfId="0" applyFont="1" applyBorder="1" applyAlignment="1"/>
    <xf numFmtId="0" fontId="23" fillId="8" borderId="0" xfId="3" applyBorder="1" applyAlignment="1"/>
    <xf numFmtId="0" fontId="22" fillId="7" borderId="0" xfId="2" applyBorder="1" applyAlignment="1"/>
    <xf numFmtId="10" fontId="0" fillId="0" borderId="4" xfId="0" applyNumberFormat="1" applyFont="1" applyBorder="1" applyAlignment="1"/>
    <xf numFmtId="0" fontId="23" fillId="8" borderId="0" xfId="0" applyNumberFormat="1" applyFont="1" applyFill="1" applyBorder="1" applyAlignment="1"/>
    <xf numFmtId="0" fontId="22" fillId="7" borderId="0" xfId="0" applyNumberFormat="1" applyFont="1" applyFill="1" applyBorder="1" applyAlignment="1"/>
    <xf numFmtId="0" fontId="3" fillId="0" borderId="0" xfId="0" applyFont="1" applyAlignment="1"/>
    <xf numFmtId="164" fontId="0" fillId="0" borderId="0" xfId="0" applyNumberFormat="1" applyFont="1" applyAlignment="1"/>
    <xf numFmtId="164" fontId="3" fillId="0" borderId="0" xfId="0" applyNumberFormat="1" applyFont="1" applyAlignment="1"/>
    <xf numFmtId="9" fontId="0" fillId="0" borderId="0" xfId="4" applyFont="1" applyBorder="1" applyAlignment="1"/>
    <xf numFmtId="9" fontId="0" fillId="0" borderId="0" xfId="0" applyNumberFormat="1" applyFont="1" applyBorder="1" applyAlignment="1"/>
    <xf numFmtId="0" fontId="30" fillId="3" borderId="5" xfId="0" applyFont="1" applyFill="1" applyBorder="1" applyAlignment="1">
      <alignment vertical="top"/>
    </xf>
    <xf numFmtId="0" fontId="30" fillId="3" borderId="0" xfId="0" applyFont="1" applyFill="1" applyBorder="1" applyAlignment="1">
      <alignment vertical="top"/>
    </xf>
    <xf numFmtId="0" fontId="31" fillId="0" borderId="0" xfId="0" applyFont="1" applyBorder="1" applyAlignment="1"/>
    <xf numFmtId="0" fontId="3" fillId="0" borderId="5" xfId="0" applyFont="1" applyBorder="1" applyAlignment="1"/>
    <xf numFmtId="0" fontId="3" fillId="0" borderId="0" xfId="0" applyFont="1" applyBorder="1" applyAlignment="1"/>
    <xf numFmtId="0" fontId="0" fillId="0" borderId="5" xfId="0" applyNumberFormat="1" applyFont="1" applyFill="1" applyBorder="1" applyAlignment="1" applyProtection="1"/>
    <xf numFmtId="14" fontId="11" fillId="0" borderId="1" xfId="0" applyNumberFormat="1" applyFont="1" applyBorder="1" applyAlignment="1">
      <alignment horizontal="center" vertical="top"/>
    </xf>
    <xf numFmtId="164" fontId="12" fillId="0" borderId="0" xfId="0" applyNumberFormat="1" applyFont="1"/>
    <xf numFmtId="0" fontId="0" fillId="0" borderId="14" xfId="0" pivotButton="1" applyFont="1" applyBorder="1" applyAlignment="1"/>
    <xf numFmtId="164" fontId="0" fillId="0" borderId="11" xfId="0" applyNumberFormat="1" applyFont="1" applyBorder="1" applyAlignment="1">
      <alignment horizontal="left"/>
    </xf>
    <xf numFmtId="164" fontId="0" fillId="0" borderId="12" xfId="0" applyNumberFormat="1" applyFont="1" applyBorder="1" applyAlignment="1">
      <alignment horizontal="left"/>
    </xf>
    <xf numFmtId="164" fontId="0" fillId="0" borderId="13" xfId="0" applyNumberFormat="1" applyFont="1" applyBorder="1" applyAlignment="1">
      <alignment horizontal="left"/>
    </xf>
    <xf numFmtId="164" fontId="0" fillId="0" borderId="10" xfId="0" applyNumberFormat="1" applyFont="1" applyBorder="1" applyAlignment="1">
      <alignment horizontal="left"/>
    </xf>
    <xf numFmtId="169" fontId="10" fillId="0" borderId="0" xfId="0" applyNumberFormat="1" applyFont="1" applyAlignment="1">
      <alignment horizontal="right"/>
    </xf>
    <xf numFmtId="0" fontId="2" fillId="0" borderId="0" xfId="0" applyFont="1" applyAlignment="1"/>
    <xf numFmtId="14" fontId="0" fillId="0" borderId="0" xfId="0" applyNumberFormat="1" applyFont="1" applyAlignment="1"/>
    <xf numFmtId="0" fontId="22" fillId="7" borderId="6" xfId="0" applyNumberFormat="1" applyFont="1" applyFill="1" applyBorder="1" applyAlignment="1"/>
    <xf numFmtId="0" fontId="23" fillId="8" borderId="2" xfId="0" applyNumberFormat="1" applyFont="1" applyFill="1" applyBorder="1" applyAlignment="1"/>
    <xf numFmtId="0" fontId="23" fillId="8" borderId="3" xfId="0" applyNumberFormat="1" applyFont="1" applyFill="1" applyBorder="1" applyAlignment="1"/>
    <xf numFmtId="0" fontId="22" fillId="7" borderId="3" xfId="0" applyNumberFormat="1" applyFont="1" applyFill="1" applyBorder="1" applyAlignment="1"/>
    <xf numFmtId="0" fontId="22" fillId="7" borderId="4" xfId="0" applyNumberFormat="1" applyFont="1" applyFill="1" applyBorder="1" applyAlignment="1"/>
    <xf numFmtId="0" fontId="23" fillId="8" borderId="5" xfId="0" applyNumberFormat="1" applyFont="1" applyFill="1" applyBorder="1" applyAlignment="1"/>
    <xf numFmtId="0" fontId="2" fillId="0" borderId="11" xfId="0" applyNumberFormat="1" applyFont="1" applyFill="1" applyBorder="1" applyAlignment="1" applyProtection="1"/>
    <xf numFmtId="0" fontId="2" fillId="0" borderId="12" xfId="0" applyNumberFormat="1" applyFont="1" applyFill="1" applyBorder="1" applyAlignment="1" applyProtection="1"/>
    <xf numFmtId="0" fontId="2" fillId="0" borderId="13" xfId="0" applyNumberFormat="1" applyFont="1" applyFill="1" applyBorder="1" applyAlignment="1" applyProtection="1"/>
    <xf numFmtId="0" fontId="33" fillId="0" borderId="18" xfId="0" applyNumberFormat="1" applyFont="1" applyBorder="1" applyAlignment="1"/>
    <xf numFmtId="0" fontId="33" fillId="0" borderId="17" xfId="0" applyNumberFormat="1" applyFont="1" applyBorder="1" applyAlignment="1"/>
    <xf numFmtId="0" fontId="1" fillId="0" borderId="0" xfId="0" applyFont="1" applyBorder="1" applyAlignment="1"/>
    <xf numFmtId="2" fontId="1" fillId="0" borderId="0" xfId="0" applyNumberFormat="1" applyFont="1" applyBorder="1" applyAlignment="1"/>
    <xf numFmtId="2" fontId="0" fillId="0" borderId="0" xfId="0" applyNumberFormat="1" applyFont="1" applyBorder="1" applyAlignment="1"/>
    <xf numFmtId="0" fontId="23" fillId="8" borderId="5" xfId="3" applyBorder="1" applyAlignment="1"/>
    <xf numFmtId="164" fontId="22" fillId="7" borderId="5" xfId="2" applyNumberFormat="1" applyBorder="1" applyAlignment="1"/>
    <xf numFmtId="0" fontId="22" fillId="7" borderId="5" xfId="2" applyBorder="1" applyAlignment="1"/>
    <xf numFmtId="0" fontId="7" fillId="3" borderId="5" xfId="0" applyFont="1" applyFill="1" applyBorder="1" applyAlignment="1">
      <alignment horizontal="center"/>
    </xf>
    <xf numFmtId="0" fontId="7" fillId="3" borderId="0" xfId="0" applyFont="1" applyFill="1" applyBorder="1" applyAlignment="1">
      <alignment horizontal="center"/>
    </xf>
    <xf numFmtId="0" fontId="7" fillId="3" borderId="6" xfId="0" applyFont="1" applyFill="1" applyBorder="1" applyAlignment="1">
      <alignment horizontal="center"/>
    </xf>
    <xf numFmtId="0" fontId="15" fillId="3" borderId="2" xfId="0" applyFont="1" applyFill="1" applyBorder="1" applyAlignment="1">
      <alignment horizontal="center"/>
    </xf>
    <xf numFmtId="0" fontId="15" fillId="3" borderId="3" xfId="0" applyFont="1" applyFill="1" applyBorder="1" applyAlignment="1">
      <alignment horizontal="center"/>
    </xf>
    <xf numFmtId="0" fontId="15" fillId="3" borderId="4" xfId="0" applyFont="1" applyFill="1" applyBorder="1" applyAlignment="1">
      <alignment horizontal="center"/>
    </xf>
    <xf numFmtId="0" fontId="14" fillId="2" borderId="2" xfId="1" applyFont="1" applyBorder="1" applyAlignment="1">
      <alignment horizontal="center"/>
    </xf>
    <xf numFmtId="0" fontId="14" fillId="2" borderId="3" xfId="1" applyFont="1" applyBorder="1" applyAlignment="1">
      <alignment horizontal="center"/>
    </xf>
    <xf numFmtId="0" fontId="14" fillId="2" borderId="4" xfId="1" applyFont="1" applyBorder="1" applyAlignment="1">
      <alignment horizontal="center"/>
    </xf>
    <xf numFmtId="0" fontId="18" fillId="3" borderId="0" xfId="0" applyFont="1" applyFill="1" applyBorder="1" applyAlignment="1">
      <alignment horizontal="center"/>
    </xf>
    <xf numFmtId="0" fontId="0" fillId="3" borderId="0" xfId="0" applyFont="1" applyFill="1" applyBorder="1" applyAlignment="1">
      <alignment horizontal="center"/>
    </xf>
    <xf numFmtId="0" fontId="7" fillId="3" borderId="8" xfId="0" applyFont="1" applyFill="1" applyBorder="1" applyAlignment="1">
      <alignment horizontal="center"/>
    </xf>
    <xf numFmtId="0" fontId="21" fillId="3" borderId="0" xfId="0" applyFont="1" applyFill="1" applyBorder="1" applyAlignment="1">
      <alignment horizontal="center"/>
    </xf>
    <xf numFmtId="0" fontId="20" fillId="3" borderId="2" xfId="0" applyFont="1" applyFill="1" applyBorder="1" applyAlignment="1">
      <alignment horizontal="center"/>
    </xf>
    <xf numFmtId="0" fontId="20" fillId="3" borderId="3" xfId="0" applyFont="1" applyFill="1" applyBorder="1" applyAlignment="1">
      <alignment horizontal="center"/>
    </xf>
    <xf numFmtId="0" fontId="20" fillId="3" borderId="4" xfId="0" applyFont="1" applyFill="1" applyBorder="1" applyAlignment="1">
      <alignment horizontal="center"/>
    </xf>
    <xf numFmtId="0" fontId="17" fillId="5" borderId="0" xfId="0" applyFont="1" applyFill="1" applyAlignment="1">
      <alignment horizontal="center"/>
    </xf>
    <xf numFmtId="0" fontId="0" fillId="5" borderId="0" xfId="0" applyFont="1" applyFill="1" applyAlignment="1">
      <alignment horizontal="center"/>
    </xf>
    <xf numFmtId="0" fontId="15" fillId="3" borderId="5" xfId="0" applyFont="1" applyFill="1" applyBorder="1" applyAlignment="1">
      <alignment horizontal="center" vertical="center"/>
    </xf>
    <xf numFmtId="0" fontId="15" fillId="3" borderId="0"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xf numFmtId="0" fontId="24" fillId="3" borderId="2" xfId="0" applyFont="1" applyFill="1" applyBorder="1" applyAlignment="1">
      <alignment horizontal="center"/>
    </xf>
    <xf numFmtId="0" fontId="24" fillId="3" borderId="3" xfId="0" applyFont="1" applyFill="1" applyBorder="1" applyAlignment="1">
      <alignment horizontal="center"/>
    </xf>
    <xf numFmtId="0" fontId="24" fillId="3" borderId="4" xfId="0" applyFont="1" applyFill="1" applyBorder="1" applyAlignment="1">
      <alignment horizontal="center"/>
    </xf>
    <xf numFmtId="0" fontId="26" fillId="3" borderId="2" xfId="0" applyFont="1" applyFill="1" applyBorder="1" applyAlignment="1">
      <alignment horizontal="center"/>
    </xf>
    <xf numFmtId="0" fontId="26" fillId="3" borderId="3" xfId="0" applyFont="1" applyFill="1" applyBorder="1" applyAlignment="1">
      <alignment horizontal="center"/>
    </xf>
    <xf numFmtId="0" fontId="26" fillId="3" borderId="4" xfId="0" applyFont="1" applyFill="1" applyBorder="1" applyAlignment="1">
      <alignment horizontal="center"/>
    </xf>
    <xf numFmtId="0" fontId="27" fillId="3" borderId="2" xfId="0" applyFont="1" applyFill="1" applyBorder="1" applyAlignment="1">
      <alignment horizontal="center"/>
    </xf>
    <xf numFmtId="0" fontId="0" fillId="3" borderId="3" xfId="0" applyFont="1" applyFill="1" applyBorder="1" applyAlignment="1">
      <alignment horizontal="center"/>
    </xf>
    <xf numFmtId="0" fontId="0" fillId="3" borderId="4" xfId="0" applyFont="1" applyFill="1" applyBorder="1" applyAlignment="1">
      <alignment horizontal="center"/>
    </xf>
    <xf numFmtId="0" fontId="28" fillId="3" borderId="2" xfId="0" applyFont="1" applyFill="1" applyBorder="1" applyAlignment="1">
      <alignment horizontal="center"/>
    </xf>
    <xf numFmtId="0" fontId="28" fillId="3" borderId="3" xfId="0" applyFont="1" applyFill="1" applyBorder="1" applyAlignment="1">
      <alignment horizontal="center"/>
    </xf>
    <xf numFmtId="0" fontId="28" fillId="3" borderId="4" xfId="0" applyFont="1" applyFill="1" applyBorder="1" applyAlignment="1">
      <alignment horizontal="center"/>
    </xf>
    <xf numFmtId="0" fontId="32" fillId="3" borderId="2" xfId="0" applyFont="1" applyFill="1" applyBorder="1" applyAlignment="1">
      <alignment horizontal="center"/>
    </xf>
    <xf numFmtId="0" fontId="0" fillId="3" borderId="5" xfId="0" applyFont="1" applyFill="1" applyBorder="1" applyAlignment="1">
      <alignment horizontal="center"/>
    </xf>
    <xf numFmtId="0" fontId="0" fillId="3" borderId="6" xfId="0" applyFont="1" applyFill="1" applyBorder="1" applyAlignment="1">
      <alignment horizontal="center"/>
    </xf>
    <xf numFmtId="0" fontId="34" fillId="3" borderId="2" xfId="0" applyFont="1" applyFill="1" applyBorder="1" applyAlignment="1">
      <alignment horizontal="center"/>
    </xf>
  </cellXfs>
  <cellStyles count="5">
    <cellStyle name="Bad" xfId="3" builtinId="27"/>
    <cellStyle name="Good" xfId="2" builtinId="26"/>
    <cellStyle name="Neutral" xfId="1" builtinId="28"/>
    <cellStyle name="Normal" xfId="0" builtinId="0"/>
    <cellStyle name="Per cent" xfId="4" builtinId="5"/>
  </cellStyles>
  <dxfs count="277">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7" formatCode="[$₹-4009]\ #,##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59996337778862885"/>
        </patternFill>
      </fill>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numFmt numFmtId="168" formatCode="[$₹-4009]\ #,##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dxf>
    <dxf>
      <numFmt numFmtId="0" formatCode="General"/>
    </dxf>
    <dxf>
      <font>
        <b/>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border diagonalUp="0" diagonalDown="0">
        <left/>
        <right/>
        <top style="thin">
          <color theme="4"/>
        </top>
        <bottom/>
        <vertical/>
        <horizontal/>
      </border>
    </dxf>
    <dxf>
      <border outline="0">
        <left style="thin">
          <color theme="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39994506668294322"/>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quot;Aptos Narrow&quot;"/>
        <scheme val="none"/>
      </font>
      <numFmt numFmtId="169" formatCode="0.000000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7" formatCode="[$₹-4009]\ #,##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yyyy\-mm\-dd;@"/>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general" vertical="bottom" textRotation="0" wrapText="0" indent="0" justifyLastLine="0" shrinkToFit="0" readingOrder="0"/>
    </dxf>
    <dxf>
      <fill>
        <patternFill>
          <bgColor theme="6" tint="0.59996337778862885"/>
        </patternFill>
      </fill>
    </dxf>
    <dxf>
      <fill>
        <patternFill>
          <bgColor theme="6" tint="0.59996337778862885"/>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ill>
        <patternFill>
          <bgColor theme="6" tint="0.59996337778862885"/>
        </patternFill>
      </fill>
    </dxf>
    <dxf>
      <font>
        <b/>
        <sz val="11"/>
        <color theme="1"/>
      </font>
      <border>
        <vertical/>
        <horizontal/>
      </border>
    </dxf>
    <dxf>
      <font>
        <color theme="1"/>
      </font>
      <fill>
        <patternFill>
          <bgColor theme="0" tint="-0.14996795556505021"/>
        </patternFill>
      </fill>
      <border diagonalUp="0" diagonalDown="0">
        <left/>
        <right/>
        <top/>
        <bottom/>
        <vertical/>
        <horizontal/>
      </border>
    </dxf>
    <dxf>
      <font>
        <color rgb="FF00D661"/>
        <name val="Segoe UI Semibold"/>
        <family val="2"/>
        <scheme val="none"/>
      </font>
      <fill>
        <patternFill patternType="none">
          <bgColor auto="1"/>
        </patternFill>
      </fill>
      <border diagonalUp="0" diagonalDown="0">
        <left/>
        <right/>
        <top/>
        <bottom/>
        <vertical/>
        <horizontal/>
      </border>
    </dxf>
    <dxf>
      <font>
        <color theme="1"/>
      </font>
      <fill>
        <patternFill patternType="solid">
          <fgColor auto="1"/>
          <bgColor theme="0" tint="-0.14996795556505021"/>
        </patternFill>
      </fill>
      <border diagonalUp="0" diagonalDown="0">
        <left/>
        <right/>
        <top/>
        <bottom/>
        <vertical/>
        <horizontal/>
      </border>
    </dxf>
    <dxf>
      <font>
        <color rgb="FF00D661"/>
        <name val="Segoe UI Semibold"/>
        <family val="2"/>
        <scheme val="none"/>
      </font>
      <fill>
        <patternFill patternType="none">
          <bgColor auto="1"/>
        </patternFill>
      </fill>
      <border diagonalUp="0" diagonalDown="0">
        <left/>
        <right/>
        <top/>
        <bottom/>
        <vertical/>
        <horizontal/>
      </border>
    </dxf>
    <dxf>
      <font>
        <color theme="1"/>
      </font>
      <fill>
        <patternFill patternType="solid">
          <fgColor auto="1"/>
          <bgColor theme="0" tint="-4.9989318521683403E-2"/>
        </patternFill>
      </fill>
      <border diagonalUp="0" diagonalDown="0">
        <left/>
        <right/>
        <top/>
        <bottom/>
        <vertical/>
        <horizontal/>
      </border>
    </dxf>
    <dxf>
      <font>
        <color rgb="FF00D661"/>
        <name val="Segoe UI Semibold"/>
        <family val="2"/>
        <scheme val="none"/>
      </font>
      <fill>
        <patternFill patternType="solid">
          <bgColor theme="0" tint="-4.9989318521683403E-2"/>
        </patternFill>
      </fill>
      <border diagonalUp="0" diagonalDown="0">
        <left/>
        <right/>
        <top/>
        <bottom/>
        <vertical/>
        <horizontal/>
      </border>
    </dxf>
    <dxf>
      <font>
        <color theme="1"/>
      </font>
      <fill>
        <patternFill patternType="solid">
          <fgColor auto="1"/>
          <bgColor theme="0" tint="-4.9989318521683403E-2"/>
        </patternFill>
      </fill>
      <border diagonalUp="0" diagonalDown="0">
        <left/>
        <right/>
        <top/>
        <bottom/>
        <vertical/>
        <horizontal/>
      </border>
    </dxf>
    <dxf>
      <font>
        <b/>
        <color theme="1"/>
      </font>
      <border>
        <bottom style="thin">
          <color theme="9"/>
        </bottom>
        <vertical/>
        <horizontal/>
      </border>
    </dxf>
    <dxf>
      <font>
        <color theme="1"/>
        <name val="Arial Black"/>
        <family val="2"/>
        <scheme val="none"/>
      </font>
      <fill>
        <patternFill>
          <bgColor rgb="FF5F5F5F"/>
        </patternFill>
      </fill>
      <border diagonalUp="0" diagonalDown="0">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fgColor theme="1" tint="0.34998626667073579"/>
          <bgColor theme="1" tint="0.34998626667073579"/>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1" tint="0.34998626667073579"/>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1" tint="0.34998626667073579"/>
        </patternFill>
      </fill>
      <border>
        <left style="thin">
          <color theme="9"/>
        </left>
        <right style="thin">
          <color theme="9"/>
        </right>
        <top style="thin">
          <color theme="9"/>
        </top>
        <bottom style="thin">
          <color theme="9"/>
        </bottom>
        <vertical/>
        <horizontal/>
      </border>
    </dxf>
    <dxf>
      <font>
        <b val="0"/>
        <i val="0"/>
        <strike val="0"/>
        <u/>
        <sz val="14"/>
        <color rgb="FF00D661"/>
        <name val="Segoe UI Semibold"/>
        <family val="2"/>
        <scheme val="none"/>
      </font>
      <fill>
        <patternFill>
          <fgColor theme="1" tint="0.499984740745262"/>
          <bgColor rgb="FF969696"/>
        </patternFill>
      </fill>
      <border diagonalUp="0" diagonalDown="0">
        <left style="thick">
          <color auto="1"/>
        </left>
        <right style="thick">
          <color auto="1"/>
        </right>
        <top style="thick">
          <color auto="1"/>
        </top>
        <bottom style="thick">
          <color auto="1"/>
        </bottom>
        <vertical/>
        <horizontal/>
      </border>
    </dxf>
    <dxf>
      <font>
        <b/>
        <color theme="1"/>
      </font>
      <border>
        <bottom style="thin">
          <color theme="6"/>
        </bottom>
        <vertical/>
        <horizontal/>
      </border>
    </dxf>
    <dxf>
      <font>
        <color theme="1"/>
      </font>
      <fill>
        <patternFill patternType="none">
          <bgColor auto="1"/>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theme="1" tint="0.34998626667073579"/>
        </patternFill>
      </fill>
      <border>
        <left style="thin">
          <color theme="6"/>
        </left>
        <right style="thin">
          <color theme="6"/>
        </right>
        <top style="thin">
          <color theme="6"/>
        </top>
        <bottom style="thin">
          <color theme="6"/>
        </bottom>
        <vertical/>
        <horizontal/>
      </border>
    </dxf>
  </dxfs>
  <tableStyles count="11" defaultTableStyle="TableStyleMedium2" defaultPivotStyle="PivotStyleLight16">
    <tableStyle name="PLAT" pivot="0" table="0" count="10" xr9:uid="{265F86E7-E806-4BA3-9D99-B42CCED4CA54}">
      <tableStyleElement type="wholeTable" dxfId="276"/>
      <tableStyleElement type="headerRow" dxfId="275"/>
    </tableStyle>
    <tableStyle name="Platform" pivot="0" table="0" count="10" xr9:uid="{4502285E-DA70-422F-87FE-4EF1E9EC35D8}">
      <tableStyleElement type="wholeTable" dxfId="274"/>
      <tableStyleElement type="headerRow" dxfId="273"/>
    </tableStyle>
    <tableStyle name="Slicer Style 1" pivot="0" table="0" count="1" xr9:uid="{E130AD76-E252-418D-ACBF-118CF5208E03}">
      <tableStyleElement type="wholeTable" dxfId="272"/>
    </tableStyle>
    <tableStyle name="SlicerStyleDark6 2" pivot="0" table="0" count="10" xr9:uid="{082505C1-E0F1-4A4E-9274-D7BF81BF3D10}">
      <tableStyleElement type="wholeTable" dxfId="271"/>
      <tableStyleElement type="headerRow" dxfId="270"/>
    </tableStyle>
    <tableStyle name="SlicerStyleDark6 3" pivot="0" table="0" count="10" xr9:uid="{3E908E9F-40F0-4D21-945D-D44BC59ED03D}">
      <tableStyleElement type="wholeTable" dxfId="269"/>
      <tableStyleElement type="headerRow" dxfId="268"/>
    </tableStyle>
    <tableStyle name="SlicerStyleDark6 4" pivot="0" table="0" count="10" xr9:uid="{A0E876D9-6219-492F-AE6D-0ADC51C372DD}">
      <tableStyleElement type="wholeTable" dxfId="267"/>
      <tableStyleElement type="headerRow" dxfId="266"/>
    </tableStyle>
    <tableStyle name="SlicerStyleDark6 5" pivot="0" table="0" count="10" xr9:uid="{908A0344-CE0E-4093-A088-4D9595E616F1}">
      <tableStyleElement type="wholeTable" dxfId="265"/>
      <tableStyleElement type="headerRow" dxfId="264"/>
    </tableStyle>
    <tableStyle name="SlicerStyleOther1 2" pivot="0" table="0" count="10" xr9:uid="{AC067C8B-DF44-4BE9-9F54-F7EF4731724B}">
      <tableStyleElement type="wholeTable" dxfId="263"/>
      <tableStyleElement type="headerRow" dxfId="262"/>
    </tableStyle>
    <tableStyle name="SlicerStyleOther1 2 2" pivot="0" table="0" count="10" xr9:uid="{7349D648-6A6C-40B1-ACB8-5DC716A21955}">
      <tableStyleElement type="wholeTable" dxfId="261"/>
      <tableStyleElement type="headerRow" dxfId="260"/>
    </tableStyle>
    <tableStyle name="SlicerStyleOther1 2 2 2" pivot="0" table="0" count="10" xr9:uid="{EADA1478-1216-4CD2-A7A5-445EC5A8A1EC}">
      <tableStyleElement type="wholeTable" dxfId="259"/>
      <tableStyleElement type="headerRow" dxfId="258"/>
    </tableStyle>
    <tableStyle name="TimeSlicerStyleLight3 2" pivot="0" table="0" count="9" xr9:uid="{161C7717-C3C2-4AE4-8F38-22FCB5832DD6}">
      <tableStyleElement type="wholeTable" dxfId="257"/>
      <tableStyleElement type="headerRow" dxfId="256"/>
    </tableStyle>
  </tableStyles>
  <colors>
    <mruColors>
      <color rgb="FF00D661"/>
      <color rgb="FFBEFEC6"/>
      <color rgb="FF29FF3D"/>
      <color rgb="FFFF00FF"/>
      <color rgb="FFFFCC66"/>
      <color rgb="FFC1FFC1"/>
      <color rgb="FFFFBDBD"/>
      <color rgb="FFCAE6EE"/>
      <color rgb="FFFFB3FF"/>
      <color rgb="FF03FD21"/>
    </mruColors>
  </color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29FF8A"/>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tint="0.499984740745262"/>
              <bgColor theme="1" tint="0.49998474074526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29FF8A"/>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tint="0.499984740745262"/>
              <bgColor theme="1" tint="0.49998474074526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rgb="FF29FF8A"/>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tint="0.499984740745262"/>
              <bgColor theme="1" tint="0.49998474074526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PLAT">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Platform">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 Style 1"/>
        <x14:slicerStyle name="SlicerStyleDark6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6" tint="0.39991454817346722"/>
              <bgColor theme="1" tint="4.9989318521683403E-2"/>
            </patternFill>
          </fill>
          <border>
            <vertical/>
            <horizontal/>
          </border>
        </dxf>
        <dxf>
          <fill>
            <patternFill patternType="solid">
              <fgColor auto="1"/>
              <bgColor theme="1" tint="0.34998626667073579"/>
            </patternFill>
          </fill>
          <border diagonalUp="0" diagonalDown="0">
            <left/>
            <right/>
            <top/>
            <bottom/>
            <vertical/>
            <horizontal/>
          </border>
        </dxf>
        <dxf>
          <fill>
            <gradientFill degree="270">
              <stop position="0">
                <color rgb="FF18FC85"/>
              </stop>
              <stop position="1">
                <color rgb="FF969696"/>
              </stop>
            </gradientFill>
          </fill>
          <border>
            <vertical/>
            <horizontal/>
          </border>
        </dxf>
        <dxf>
          <font>
            <sz val="9"/>
            <color theme="1"/>
          </font>
          <border>
            <left/>
            <right/>
            <top/>
            <bottom/>
            <vertical/>
            <horizontal/>
          </border>
        </dxf>
        <dxf>
          <font>
            <sz val="9"/>
            <color theme="1" tint="4.9989318521683403E-2"/>
          </font>
          <border>
            <left/>
            <right/>
            <top/>
            <bottom/>
            <vertical/>
            <horizontal/>
          </border>
        </dxf>
        <dxf>
          <font>
            <sz val="9"/>
            <color theme="1"/>
          </font>
          <border>
            <left/>
            <right/>
            <top/>
            <bottom/>
            <vertical/>
            <horizontal/>
          </border>
        </dxf>
        <dxf>
          <font>
            <sz val="10"/>
            <color theme="1"/>
            <name val="Calibri"/>
            <family val="2"/>
            <scheme val="major"/>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3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11/relationships/timelineCache" Target="timelineCaches/timeline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4.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clg.xlsx]TASK3!PivotTable14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TASK3!$E$21</c:f>
              <c:strCache>
                <c:ptCount val="1"/>
                <c:pt idx="0">
                  <c:v>Sum of Ad_Spend</c:v>
                </c:pt>
              </c:strCache>
            </c:strRef>
          </c:tx>
          <c:spPr>
            <a:solidFill>
              <a:schemeClr val="accent1"/>
            </a:solidFill>
            <a:ln>
              <a:noFill/>
            </a:ln>
            <a:effectLst/>
          </c:spPr>
          <c:invertIfNegative val="0"/>
          <c:cat>
            <c:strRef>
              <c:f>TASK3!$D$22:$D$25</c:f>
              <c:strCache>
                <c:ptCount val="3"/>
                <c:pt idx="0">
                  <c:v>Instagram</c:v>
                </c:pt>
                <c:pt idx="1">
                  <c:v>Twitter</c:v>
                </c:pt>
                <c:pt idx="2">
                  <c:v>YouTube</c:v>
                </c:pt>
              </c:strCache>
            </c:strRef>
          </c:cat>
          <c:val>
            <c:numRef>
              <c:f>TASK3!$E$22:$E$25</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0-12E7-4D16-80BB-2B60C35C43AB}"/>
            </c:ext>
          </c:extLst>
        </c:ser>
        <c:dLbls>
          <c:showLegendKey val="0"/>
          <c:showVal val="0"/>
          <c:showCatName val="0"/>
          <c:showSerName val="0"/>
          <c:showPercent val="0"/>
          <c:showBubbleSize val="0"/>
        </c:dLbls>
        <c:gapWidth val="219"/>
        <c:overlap val="-27"/>
        <c:axId val="508126847"/>
        <c:axId val="508127679"/>
      </c:barChart>
      <c:lineChart>
        <c:grouping val="standard"/>
        <c:varyColors val="0"/>
        <c:ser>
          <c:idx val="1"/>
          <c:order val="1"/>
          <c:tx>
            <c:strRef>
              <c:f>TASK3!$F$21</c:f>
              <c:strCache>
                <c:ptCount val="1"/>
                <c:pt idx="0">
                  <c:v>Sum of Engagement_Rate</c:v>
                </c:pt>
              </c:strCache>
            </c:strRef>
          </c:tx>
          <c:spPr>
            <a:ln w="28575" cap="rnd">
              <a:solidFill>
                <a:schemeClr val="accent2"/>
              </a:solidFill>
              <a:round/>
            </a:ln>
            <a:effectLst/>
          </c:spPr>
          <c:marker>
            <c:symbol val="none"/>
          </c:marker>
          <c:cat>
            <c:strRef>
              <c:f>TASK3!$D$22:$D$25</c:f>
              <c:strCache>
                <c:ptCount val="3"/>
                <c:pt idx="0">
                  <c:v>Instagram</c:v>
                </c:pt>
                <c:pt idx="1">
                  <c:v>Twitter</c:v>
                </c:pt>
                <c:pt idx="2">
                  <c:v>YouTube</c:v>
                </c:pt>
              </c:strCache>
            </c:strRef>
          </c:cat>
          <c:val>
            <c:numRef>
              <c:f>TASK3!$F$22:$F$25</c:f>
              <c:numCache>
                <c:formatCode>General</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1-12E7-4D16-80BB-2B60C35C43AB}"/>
            </c:ext>
          </c:extLst>
        </c:ser>
        <c:dLbls>
          <c:showLegendKey val="0"/>
          <c:showVal val="0"/>
          <c:showCatName val="0"/>
          <c:showSerName val="0"/>
          <c:showPercent val="0"/>
          <c:showBubbleSize val="0"/>
        </c:dLbls>
        <c:marker val="1"/>
        <c:smooth val="0"/>
        <c:axId val="508126431"/>
        <c:axId val="508128095"/>
      </c:lineChart>
      <c:catAx>
        <c:axId val="50812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7679"/>
        <c:crosses val="autoZero"/>
        <c:auto val="1"/>
        <c:lblAlgn val="ctr"/>
        <c:lblOffset val="100"/>
        <c:noMultiLvlLbl val="0"/>
      </c:catAx>
      <c:valAx>
        <c:axId val="50812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6847"/>
        <c:crosses val="autoZero"/>
        <c:crossBetween val="between"/>
      </c:valAx>
      <c:valAx>
        <c:axId val="5081280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6431"/>
        <c:crosses val="max"/>
        <c:crossBetween val="between"/>
      </c:valAx>
      <c:catAx>
        <c:axId val="508126431"/>
        <c:scaling>
          <c:orientation val="minMax"/>
        </c:scaling>
        <c:delete val="1"/>
        <c:axPos val="b"/>
        <c:numFmt formatCode="General" sourceLinked="1"/>
        <c:majorTickMark val="out"/>
        <c:minorTickMark val="none"/>
        <c:tickLblPos val="nextTo"/>
        <c:crossAx val="508128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TASK3!$D$48</c:f>
              <c:strCache>
                <c:ptCount val="1"/>
                <c:pt idx="0">
                  <c:v>Total</c:v>
                </c:pt>
              </c:strCache>
            </c:strRef>
          </c:tx>
          <c:spPr>
            <a:solidFill>
              <a:schemeClr val="accent1"/>
            </a:solidFill>
            <a:ln>
              <a:noFill/>
            </a:ln>
            <a:effectLst/>
          </c:spPr>
          <c:invertIfNegative val="0"/>
          <c:cat>
            <c:strRef>
              <c:f>TASK3!$C$49:$C$52</c:f>
              <c:strCache>
                <c:ptCount val="3"/>
                <c:pt idx="0">
                  <c:v>Instagram</c:v>
                </c:pt>
                <c:pt idx="1">
                  <c:v>Twitter</c:v>
                </c:pt>
                <c:pt idx="2">
                  <c:v>YouTube</c:v>
                </c:pt>
              </c:strCache>
            </c:strRef>
          </c:cat>
          <c:val>
            <c:numRef>
              <c:f>TASK3!$D$49:$D$52</c:f>
              <c:numCache>
                <c:formatCode>0.00%</c:formatCode>
                <c:ptCount val="3"/>
                <c:pt idx="0">
                  <c:v>0.32351643750607489</c:v>
                </c:pt>
                <c:pt idx="1">
                  <c:v>0.34492968171724642</c:v>
                </c:pt>
                <c:pt idx="2">
                  <c:v>0.33155388077667858</c:v>
                </c:pt>
              </c:numCache>
            </c:numRef>
          </c:val>
          <c:extLst>
            <c:ext xmlns:c16="http://schemas.microsoft.com/office/drawing/2014/chart" uri="{C3380CC4-5D6E-409C-BE32-E72D297353CC}">
              <c16:uniqueId val="{00000000-CBC8-4DF4-85D0-5AA78609D5B4}"/>
            </c:ext>
          </c:extLst>
        </c:ser>
        <c:dLbls>
          <c:showLegendKey val="0"/>
          <c:showVal val="0"/>
          <c:showCatName val="0"/>
          <c:showSerName val="0"/>
          <c:showPercent val="0"/>
          <c:showBubbleSize val="0"/>
        </c:dLbls>
        <c:gapWidth val="219"/>
        <c:overlap val="-27"/>
        <c:axId val="1687386720"/>
        <c:axId val="875283216"/>
      </c:barChart>
      <c:catAx>
        <c:axId val="168738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283216"/>
        <c:crosses val="autoZero"/>
        <c:auto val="1"/>
        <c:lblAlgn val="ctr"/>
        <c:lblOffset val="100"/>
        <c:noMultiLvlLbl val="0"/>
      </c:catAx>
      <c:valAx>
        <c:axId val="8752832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3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ln>
                  <a:noFill/>
                </a:ln>
                <a:solidFill>
                  <a:schemeClr val="tx1"/>
                </a:solidFill>
              </a:rPr>
              <a:t>Most frequent hashtags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'Task 4'!$D$7</c:f>
              <c:strCache>
                <c:ptCount val="1"/>
                <c:pt idx="0">
                  <c:v>#NowPlaying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4'!$E$6</c:f>
              <c:strCache>
                <c:ptCount val="1"/>
                <c:pt idx="0">
                  <c:v># Usage Count</c:v>
                </c:pt>
              </c:strCache>
            </c:strRef>
          </c:cat>
          <c:val>
            <c:numRef>
              <c:f>'Task 4'!$E$7</c:f>
              <c:numCache>
                <c:formatCode>General</c:formatCode>
                <c:ptCount val="1"/>
                <c:pt idx="0">
                  <c:v>143</c:v>
                </c:pt>
              </c:numCache>
            </c:numRef>
          </c:val>
          <c:extLst>
            <c:ext xmlns:c16="http://schemas.microsoft.com/office/drawing/2014/chart" uri="{C3380CC4-5D6E-409C-BE32-E72D297353CC}">
              <c16:uniqueId val="{00000000-C651-4870-9D5D-1CB184451117}"/>
            </c:ext>
          </c:extLst>
        </c:ser>
        <c:ser>
          <c:idx val="1"/>
          <c:order val="1"/>
          <c:tx>
            <c:strRef>
              <c:f>'Task 4'!$D$8</c:f>
              <c:strCache>
                <c:ptCount val="1"/>
                <c:pt idx="0">
                  <c:v>#DiscoverWeekly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4'!$E$6</c:f>
              <c:strCache>
                <c:ptCount val="1"/>
                <c:pt idx="0">
                  <c:v># Usage Count</c:v>
                </c:pt>
              </c:strCache>
            </c:strRef>
          </c:cat>
          <c:val>
            <c:numRef>
              <c:f>'Task 4'!$E$8</c:f>
              <c:numCache>
                <c:formatCode>General</c:formatCode>
                <c:ptCount val="1"/>
                <c:pt idx="0">
                  <c:v>130</c:v>
                </c:pt>
              </c:numCache>
            </c:numRef>
          </c:val>
          <c:extLst>
            <c:ext xmlns:c16="http://schemas.microsoft.com/office/drawing/2014/chart" uri="{C3380CC4-5D6E-409C-BE32-E72D297353CC}">
              <c16:uniqueId val="{00000001-C651-4870-9D5D-1CB184451117}"/>
            </c:ext>
          </c:extLst>
        </c:ser>
        <c:ser>
          <c:idx val="2"/>
          <c:order val="2"/>
          <c:tx>
            <c:strRef>
              <c:f>'Task 4'!$D$9</c:f>
              <c:strCache>
                <c:ptCount val="1"/>
                <c:pt idx="0">
                  <c:v>#SoundtrackOfLife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4'!$E$6</c:f>
              <c:strCache>
                <c:ptCount val="1"/>
                <c:pt idx="0">
                  <c:v># Usage Count</c:v>
                </c:pt>
              </c:strCache>
            </c:strRef>
          </c:cat>
          <c:val>
            <c:numRef>
              <c:f>'Task 4'!$E$9</c:f>
              <c:numCache>
                <c:formatCode>General</c:formatCode>
                <c:ptCount val="1"/>
                <c:pt idx="0">
                  <c:v>109</c:v>
                </c:pt>
              </c:numCache>
            </c:numRef>
          </c:val>
          <c:extLst>
            <c:ext xmlns:c16="http://schemas.microsoft.com/office/drawing/2014/chart" uri="{C3380CC4-5D6E-409C-BE32-E72D297353CC}">
              <c16:uniqueId val="{00000002-C651-4870-9D5D-1CB184451117}"/>
            </c:ext>
          </c:extLst>
        </c:ser>
        <c:dLbls>
          <c:dLblPos val="outEnd"/>
          <c:showLegendKey val="0"/>
          <c:showVal val="1"/>
          <c:showCatName val="0"/>
          <c:showSerName val="0"/>
          <c:showPercent val="0"/>
          <c:showBubbleSize val="0"/>
        </c:dLbls>
        <c:gapWidth val="219"/>
        <c:overlap val="-27"/>
        <c:axId val="1999467488"/>
        <c:axId val="1996010144"/>
        <c:extLst>
          <c:ext xmlns:c15="http://schemas.microsoft.com/office/drawing/2012/chart" uri="{02D57815-91ED-43cb-92C2-25804820EDAC}">
            <c15:filteredBarSeries>
              <c15:ser>
                <c:idx val="3"/>
                <c:order val="3"/>
                <c:tx>
                  <c:strRef>
                    <c:extLst>
                      <c:ext uri="{02D57815-91ED-43cb-92C2-25804820EDAC}">
                        <c15:formulaRef>
                          <c15:sqref>'Task 4'!$D$10</c15:sqref>
                        </c15:formulaRef>
                      </c:ext>
                    </c:extLst>
                    <c:strCache>
                      <c:ptCount val="1"/>
                      <c:pt idx="0">
                        <c:v>#MusicForEveryone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'Task 4'!$E$6</c15:sqref>
                        </c15:formulaRef>
                      </c:ext>
                    </c:extLst>
                    <c:strCache>
                      <c:ptCount val="1"/>
                      <c:pt idx="0">
                        <c:v># Usage Count</c:v>
                      </c:pt>
                    </c:strCache>
                  </c:strRef>
                </c:cat>
                <c:val>
                  <c:numRef>
                    <c:extLst>
                      <c:ext uri="{02D57815-91ED-43cb-92C2-25804820EDAC}">
                        <c15:formulaRef>
                          <c15:sqref>'Task 4'!$E$10</c15:sqref>
                        </c15:formulaRef>
                      </c:ext>
                    </c:extLst>
                    <c:numCache>
                      <c:formatCode>General</c:formatCode>
                      <c:ptCount val="1"/>
                      <c:pt idx="0">
                        <c:v>67</c:v>
                      </c:pt>
                    </c:numCache>
                  </c:numRef>
                </c:val>
                <c:extLst>
                  <c:ext xmlns:c16="http://schemas.microsoft.com/office/drawing/2014/chart" uri="{C3380CC4-5D6E-409C-BE32-E72D297353CC}">
                    <c16:uniqueId val="{00000003-C651-4870-9D5D-1CB18445111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'Task 4'!$D$11</c15:sqref>
                        </c15:formulaRef>
                      </c:ext>
                    </c:extLst>
                    <c:strCache>
                      <c:ptCount val="1"/>
                      <c:pt idx="0">
                        <c:v>#SpotifyWrapped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'Task 4'!$E$6</c15:sqref>
                        </c15:formulaRef>
                      </c:ext>
                    </c:extLst>
                    <c:strCache>
                      <c:ptCount val="1"/>
                      <c:pt idx="0">
                        <c:v># Usage Count</c:v>
                      </c:pt>
                    </c:strCache>
                  </c:strRef>
                </c:cat>
                <c:val>
                  <c:numRef>
                    <c:extLst xmlns:c15="http://schemas.microsoft.com/office/drawing/2012/chart">
                      <c:ext xmlns:c15="http://schemas.microsoft.com/office/drawing/2012/chart" uri="{02D57815-91ED-43cb-92C2-25804820EDAC}">
                        <c15:formulaRef>
                          <c15:sqref>'Task 4'!$E$11</c15:sqref>
                        </c15:formulaRef>
                      </c:ext>
                    </c:extLst>
                    <c:numCache>
                      <c:formatCode>General</c:formatCode>
                      <c:ptCount val="1"/>
                      <c:pt idx="0">
                        <c:v>34</c:v>
                      </c:pt>
                    </c:numCache>
                  </c:numRef>
                </c:val>
                <c:extLst xmlns:c15="http://schemas.microsoft.com/office/drawing/2012/chart">
                  <c:ext xmlns:c16="http://schemas.microsoft.com/office/drawing/2014/chart" uri="{C3380CC4-5D6E-409C-BE32-E72D297353CC}">
                    <c16:uniqueId val="{00000004-C651-4870-9D5D-1CB184451117}"/>
                  </c:ext>
                </c:extLst>
              </c15:ser>
            </c15:filteredBarSeries>
          </c:ext>
        </c:extLst>
      </c:barChart>
      <c:catAx>
        <c:axId val="19994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010144"/>
        <c:crosses val="autoZero"/>
        <c:auto val="1"/>
        <c:lblAlgn val="ctr"/>
        <c:lblOffset val="100"/>
        <c:noMultiLvlLbl val="0"/>
      </c:catAx>
      <c:valAx>
        <c:axId val="199601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6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 4!PivotTable6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10"/>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4'!$O$4:$O$5</c:f>
              <c:strCache>
                <c:ptCount val="1"/>
                <c:pt idx="0">
                  <c:v>Reel</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5813-4AF6-83D2-DEEDDAB616B1}"/>
              </c:ext>
            </c:extLst>
          </c:dPt>
          <c:dLbls>
            <c:dLbl>
              <c:idx val="2"/>
              <c:layout>
                <c:manualLayout>
                  <c:x val="0"/>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13-4AF6-83D2-DEEDDAB616B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4'!$O$6:$O$9</c:f>
              <c:numCache>
                <c:formatCode>General</c:formatCode>
                <c:ptCount val="3"/>
                <c:pt idx="2">
                  <c:v>42546.65517241379</c:v>
                </c:pt>
              </c:numCache>
            </c:numRef>
          </c:val>
          <c:extLst>
            <c:ext xmlns:c16="http://schemas.microsoft.com/office/drawing/2014/chart" uri="{C3380CC4-5D6E-409C-BE32-E72D297353CC}">
              <c16:uniqueId val="{00000000-5813-4AF6-83D2-DEEDDAB616B1}"/>
            </c:ext>
          </c:extLst>
        </c:ser>
        <c:ser>
          <c:idx val="1"/>
          <c:order val="1"/>
          <c:tx>
            <c:strRef>
              <c:f>'Task 4'!$P$4:$P$5</c:f>
              <c:strCache>
                <c:ptCount val="1"/>
                <c:pt idx="0">
                  <c:v>Story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C-5813-4AF6-83D2-DEEDDAB616B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5813-4AF6-83D2-DEEDDAB616B1}"/>
              </c:ext>
            </c:extLst>
          </c:dPt>
          <c:dLbls>
            <c:dLbl>
              <c:idx val="0"/>
              <c:layout>
                <c:manualLayout>
                  <c:x val="0"/>
                  <c:y val="0.32407407407407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813-4AF6-83D2-DEEDDAB616B1}"/>
                </c:ext>
              </c:extLst>
            </c:dLbl>
            <c:dLbl>
              <c:idx val="1"/>
              <c:layout>
                <c:manualLayout>
                  <c:x val="-4.8661238347840187E-17"/>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13-4AF6-83D2-DEEDDAB616B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4'!$P$6:$P$9</c:f>
              <c:numCache>
                <c:formatCode>General</c:formatCode>
                <c:ptCount val="3"/>
                <c:pt idx="0">
                  <c:v>37626.34782608696</c:v>
                </c:pt>
                <c:pt idx="1">
                  <c:v>42215.747126436785</c:v>
                </c:pt>
              </c:numCache>
            </c:numRef>
          </c:val>
          <c:extLst>
            <c:ext xmlns:c16="http://schemas.microsoft.com/office/drawing/2014/chart" uri="{C3380CC4-5D6E-409C-BE32-E72D297353CC}">
              <c16:uniqueId val="{00000001-5813-4AF6-83D2-DEEDDAB616B1}"/>
            </c:ext>
          </c:extLst>
        </c:ser>
        <c:ser>
          <c:idx val="2"/>
          <c:order val="2"/>
          <c:tx>
            <c:strRef>
              <c:f>'Task 4'!$Q$4:$Q$5</c:f>
              <c:strCache>
                <c:ptCount val="1"/>
                <c:pt idx="0">
                  <c:v>Text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B-5813-4AF6-83D2-DEEDDAB616B1}"/>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A-5813-4AF6-83D2-DEEDDAB616B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5813-4AF6-83D2-DEEDDAB616B1}"/>
              </c:ext>
            </c:extLst>
          </c:dPt>
          <c:dLbls>
            <c:dLbl>
              <c:idx val="0"/>
              <c:layout>
                <c:manualLayout>
                  <c:x val="-4.8661238347840187E-17"/>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813-4AF6-83D2-DEEDDAB616B1}"/>
                </c:ext>
              </c:extLst>
            </c:dLbl>
            <c:dLbl>
              <c:idx val="1"/>
              <c:layout>
                <c:manualLayout>
                  <c:x val="0"/>
                  <c:y val="0.31018518518518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13-4AF6-83D2-DEEDDAB616B1}"/>
                </c:ext>
              </c:extLst>
            </c:dLbl>
            <c:dLbl>
              <c:idx val="2"/>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 xmlns:c16="http://schemas.microsoft.com/office/drawing/2014/chart" uri="{C3380CC4-5D6E-409C-BE32-E72D297353CC}">
                  <c16:uniqueId val="{00000007-5813-4AF6-83D2-DEEDDAB616B1}"/>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4'!$Q$6:$Q$9</c:f>
              <c:numCache>
                <c:formatCode>General</c:formatCode>
                <c:ptCount val="3"/>
                <c:pt idx="0">
                  <c:v>40728.530303030304</c:v>
                </c:pt>
                <c:pt idx="1">
                  <c:v>40429.163934426229</c:v>
                </c:pt>
                <c:pt idx="2">
                  <c:v>45415.911764705881</c:v>
                </c:pt>
              </c:numCache>
            </c:numRef>
          </c:val>
          <c:extLst>
            <c:ext xmlns:c16="http://schemas.microsoft.com/office/drawing/2014/chart" uri="{C3380CC4-5D6E-409C-BE32-E72D297353CC}">
              <c16:uniqueId val="{00000002-5813-4AF6-83D2-DEEDDAB616B1}"/>
            </c:ext>
          </c:extLst>
        </c:ser>
        <c:dLbls>
          <c:dLblPos val="outEnd"/>
          <c:showLegendKey val="0"/>
          <c:showVal val="1"/>
          <c:showCatName val="0"/>
          <c:showSerName val="0"/>
          <c:showPercent val="0"/>
          <c:showBubbleSize val="0"/>
        </c:dLbls>
        <c:gapWidth val="219"/>
        <c:overlap val="-27"/>
        <c:axId val="1987143008"/>
        <c:axId val="1987144256"/>
      </c:barChart>
      <c:catAx>
        <c:axId val="19871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4256"/>
        <c:crosses val="autoZero"/>
        <c:auto val="1"/>
        <c:lblAlgn val="ctr"/>
        <c:lblOffset val="100"/>
        <c:noMultiLvlLbl val="0"/>
      </c:catAx>
      <c:valAx>
        <c:axId val="1987144256"/>
        <c:scaling>
          <c:orientation val="minMax"/>
          <c:max val="46000"/>
          <c:min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 4!PivotTable6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10"/>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24"/>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s>
    <c:plotArea>
      <c:layout/>
      <c:barChart>
        <c:barDir val="col"/>
        <c:grouping val="clustered"/>
        <c:varyColors val="0"/>
        <c:ser>
          <c:idx val="0"/>
          <c:order val="0"/>
          <c:tx>
            <c:strRef>
              <c:f>'Task 4'!$O$4:$O$5</c:f>
              <c:strCache>
                <c:ptCount val="1"/>
                <c:pt idx="0">
                  <c:v>Reel</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7AA4-4AE8-B82F-1D6411525968}"/>
              </c:ext>
            </c:extLst>
          </c:dPt>
          <c:dLbls>
            <c:dLbl>
              <c:idx val="2"/>
              <c:layout>
                <c:manualLayout>
                  <c:x val="0"/>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A4-4AE8-B82F-1D641152596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4'!$O$6:$O$9</c:f>
              <c:numCache>
                <c:formatCode>General</c:formatCode>
                <c:ptCount val="3"/>
                <c:pt idx="2">
                  <c:v>42546.65517241379</c:v>
                </c:pt>
              </c:numCache>
            </c:numRef>
          </c:val>
          <c:extLst>
            <c:ext xmlns:c16="http://schemas.microsoft.com/office/drawing/2014/chart" uri="{C3380CC4-5D6E-409C-BE32-E72D297353CC}">
              <c16:uniqueId val="{00000001-7AA4-4AE8-B82F-1D6411525968}"/>
            </c:ext>
          </c:extLst>
        </c:ser>
        <c:ser>
          <c:idx val="1"/>
          <c:order val="1"/>
          <c:tx>
            <c:strRef>
              <c:f>'Task 4'!$P$4:$P$5</c:f>
              <c:strCache>
                <c:ptCount val="1"/>
                <c:pt idx="0">
                  <c:v>Story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7AA4-4AE8-B82F-1D641152596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AA4-4AE8-B82F-1D6411525968}"/>
              </c:ext>
            </c:extLst>
          </c:dPt>
          <c:dLbls>
            <c:dLbl>
              <c:idx val="0"/>
              <c:layout>
                <c:manualLayout>
                  <c:x val="0"/>
                  <c:y val="0.32407407407407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A4-4AE8-B82F-1D6411525968}"/>
                </c:ext>
              </c:extLst>
            </c:dLbl>
            <c:dLbl>
              <c:idx val="1"/>
              <c:layout>
                <c:manualLayout>
                  <c:x val="-4.8661238347840187E-17"/>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A4-4AE8-B82F-1D641152596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4'!$P$6:$P$9</c:f>
              <c:numCache>
                <c:formatCode>General</c:formatCode>
                <c:ptCount val="3"/>
                <c:pt idx="0">
                  <c:v>37626.34782608696</c:v>
                </c:pt>
                <c:pt idx="1">
                  <c:v>42215.747126436785</c:v>
                </c:pt>
              </c:numCache>
            </c:numRef>
          </c:val>
          <c:extLst>
            <c:ext xmlns:c16="http://schemas.microsoft.com/office/drawing/2014/chart" uri="{C3380CC4-5D6E-409C-BE32-E72D297353CC}">
              <c16:uniqueId val="{00000004-7AA4-4AE8-B82F-1D6411525968}"/>
            </c:ext>
          </c:extLst>
        </c:ser>
        <c:ser>
          <c:idx val="2"/>
          <c:order val="2"/>
          <c:tx>
            <c:strRef>
              <c:f>'Task 4'!$Q$4:$Q$5</c:f>
              <c:strCache>
                <c:ptCount val="1"/>
                <c:pt idx="0">
                  <c:v>Text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5-7AA4-4AE8-B82F-1D6411525968}"/>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6-7AA4-4AE8-B82F-1D641152596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7AA4-4AE8-B82F-1D6411525968}"/>
              </c:ext>
            </c:extLst>
          </c:dPt>
          <c:dLbls>
            <c:dLbl>
              <c:idx val="0"/>
              <c:layout>
                <c:manualLayout>
                  <c:x val="-4.8661238347840187E-17"/>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A4-4AE8-B82F-1D6411525968}"/>
                </c:ext>
              </c:extLst>
            </c:dLbl>
            <c:dLbl>
              <c:idx val="1"/>
              <c:layout>
                <c:manualLayout>
                  <c:x val="0"/>
                  <c:y val="0.31018518518518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A4-4AE8-B82F-1D6411525968}"/>
                </c:ext>
              </c:extLst>
            </c:dLbl>
            <c:dLbl>
              <c:idx val="2"/>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 xmlns:c16="http://schemas.microsoft.com/office/drawing/2014/chart" uri="{C3380CC4-5D6E-409C-BE32-E72D297353CC}">
                  <c16:uniqueId val="{00000007-7AA4-4AE8-B82F-1D641152596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4'!$Q$6:$Q$9</c:f>
              <c:numCache>
                <c:formatCode>General</c:formatCode>
                <c:ptCount val="3"/>
                <c:pt idx="0">
                  <c:v>40728.530303030304</c:v>
                </c:pt>
                <c:pt idx="1">
                  <c:v>40429.163934426229</c:v>
                </c:pt>
                <c:pt idx="2">
                  <c:v>45415.911764705881</c:v>
                </c:pt>
              </c:numCache>
            </c:numRef>
          </c:val>
          <c:extLst>
            <c:ext xmlns:c16="http://schemas.microsoft.com/office/drawing/2014/chart" uri="{C3380CC4-5D6E-409C-BE32-E72D297353CC}">
              <c16:uniqueId val="{00000008-7AA4-4AE8-B82F-1D6411525968}"/>
            </c:ext>
          </c:extLst>
        </c:ser>
        <c:dLbls>
          <c:dLblPos val="outEnd"/>
          <c:showLegendKey val="0"/>
          <c:showVal val="1"/>
          <c:showCatName val="0"/>
          <c:showSerName val="0"/>
          <c:showPercent val="0"/>
          <c:showBubbleSize val="0"/>
        </c:dLbls>
        <c:gapWidth val="219"/>
        <c:overlap val="-27"/>
        <c:axId val="1987143008"/>
        <c:axId val="1987144256"/>
      </c:barChart>
      <c:catAx>
        <c:axId val="19871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4256"/>
        <c:crosses val="autoZero"/>
        <c:auto val="1"/>
        <c:lblAlgn val="ctr"/>
        <c:lblOffset val="100"/>
        <c:noMultiLvlLbl val="0"/>
      </c:catAx>
      <c:valAx>
        <c:axId val="1987144256"/>
        <c:scaling>
          <c:orientation val="minMax"/>
          <c:max val="46000"/>
          <c:min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6'!$D$1</c:f>
              <c:strCache>
                <c:ptCount val="1"/>
                <c:pt idx="0">
                  <c:v>net followers grth</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'Task 6'!$C$2:$C$201</c:f>
              <c:numCache>
                <c:formatCode>[$₹-4009]\ #,##0.00</c:formatCode>
                <c:ptCount val="200"/>
                <c:pt idx="0">
                  <c:v>23125</c:v>
                </c:pt>
                <c:pt idx="1">
                  <c:v>22788</c:v>
                </c:pt>
                <c:pt idx="2">
                  <c:v>7810</c:v>
                </c:pt>
                <c:pt idx="3">
                  <c:v>11966</c:v>
                </c:pt>
                <c:pt idx="4">
                  <c:v>26298</c:v>
                </c:pt>
                <c:pt idx="5">
                  <c:v>22029</c:v>
                </c:pt>
                <c:pt idx="6">
                  <c:v>12391</c:v>
                </c:pt>
                <c:pt idx="7">
                  <c:v>14477</c:v>
                </c:pt>
                <c:pt idx="8">
                  <c:v>25040</c:v>
                </c:pt>
                <c:pt idx="9">
                  <c:v>22619</c:v>
                </c:pt>
                <c:pt idx="10">
                  <c:v>12399</c:v>
                </c:pt>
                <c:pt idx="11">
                  <c:v>22456</c:v>
                </c:pt>
                <c:pt idx="12">
                  <c:v>19328</c:v>
                </c:pt>
                <c:pt idx="13">
                  <c:v>21107</c:v>
                </c:pt>
                <c:pt idx="14">
                  <c:v>12277</c:v>
                </c:pt>
                <c:pt idx="15">
                  <c:v>11684</c:v>
                </c:pt>
                <c:pt idx="16">
                  <c:v>14412</c:v>
                </c:pt>
                <c:pt idx="17">
                  <c:v>15924</c:v>
                </c:pt>
                <c:pt idx="18">
                  <c:v>12390</c:v>
                </c:pt>
                <c:pt idx="19">
                  <c:v>25742</c:v>
                </c:pt>
                <c:pt idx="20">
                  <c:v>10495</c:v>
                </c:pt>
                <c:pt idx="21">
                  <c:v>7797</c:v>
                </c:pt>
                <c:pt idx="22">
                  <c:v>15595</c:v>
                </c:pt>
                <c:pt idx="23">
                  <c:v>24617</c:v>
                </c:pt>
                <c:pt idx="24">
                  <c:v>9847</c:v>
                </c:pt>
                <c:pt idx="25">
                  <c:v>13644</c:v>
                </c:pt>
                <c:pt idx="26">
                  <c:v>11421</c:v>
                </c:pt>
                <c:pt idx="27">
                  <c:v>15613</c:v>
                </c:pt>
                <c:pt idx="28">
                  <c:v>23900</c:v>
                </c:pt>
                <c:pt idx="29">
                  <c:v>5836</c:v>
                </c:pt>
                <c:pt idx="30">
                  <c:v>5624</c:v>
                </c:pt>
                <c:pt idx="31">
                  <c:v>10311</c:v>
                </c:pt>
                <c:pt idx="32">
                  <c:v>8274</c:v>
                </c:pt>
                <c:pt idx="33">
                  <c:v>6031</c:v>
                </c:pt>
                <c:pt idx="34">
                  <c:v>27829</c:v>
                </c:pt>
                <c:pt idx="35">
                  <c:v>18267</c:v>
                </c:pt>
                <c:pt idx="36">
                  <c:v>26624</c:v>
                </c:pt>
                <c:pt idx="37">
                  <c:v>26644</c:v>
                </c:pt>
                <c:pt idx="38">
                  <c:v>13051</c:v>
                </c:pt>
                <c:pt idx="39">
                  <c:v>14217</c:v>
                </c:pt>
                <c:pt idx="40">
                  <c:v>16385</c:v>
                </c:pt>
                <c:pt idx="41">
                  <c:v>24548</c:v>
                </c:pt>
                <c:pt idx="42">
                  <c:v>9195</c:v>
                </c:pt>
                <c:pt idx="43">
                  <c:v>18071</c:v>
                </c:pt>
                <c:pt idx="44">
                  <c:v>16875</c:v>
                </c:pt>
                <c:pt idx="45">
                  <c:v>9567</c:v>
                </c:pt>
                <c:pt idx="46">
                  <c:v>20306</c:v>
                </c:pt>
                <c:pt idx="47">
                  <c:v>21134</c:v>
                </c:pt>
                <c:pt idx="48">
                  <c:v>26872</c:v>
                </c:pt>
                <c:pt idx="49">
                  <c:v>10253</c:v>
                </c:pt>
                <c:pt idx="50">
                  <c:v>23963</c:v>
                </c:pt>
                <c:pt idx="51">
                  <c:v>11335</c:v>
                </c:pt>
                <c:pt idx="52">
                  <c:v>12115</c:v>
                </c:pt>
                <c:pt idx="53">
                  <c:v>24358</c:v>
                </c:pt>
                <c:pt idx="54">
                  <c:v>12181</c:v>
                </c:pt>
                <c:pt idx="55">
                  <c:v>17729</c:v>
                </c:pt>
                <c:pt idx="56">
                  <c:v>10881</c:v>
                </c:pt>
                <c:pt idx="57">
                  <c:v>18576</c:v>
                </c:pt>
                <c:pt idx="58">
                  <c:v>9383</c:v>
                </c:pt>
                <c:pt idx="59">
                  <c:v>14178</c:v>
                </c:pt>
                <c:pt idx="60">
                  <c:v>21254</c:v>
                </c:pt>
                <c:pt idx="61">
                  <c:v>14215</c:v>
                </c:pt>
                <c:pt idx="62">
                  <c:v>16921</c:v>
                </c:pt>
                <c:pt idx="63">
                  <c:v>25130</c:v>
                </c:pt>
                <c:pt idx="64">
                  <c:v>25537</c:v>
                </c:pt>
                <c:pt idx="65">
                  <c:v>24943</c:v>
                </c:pt>
                <c:pt idx="66">
                  <c:v>14563</c:v>
                </c:pt>
                <c:pt idx="67">
                  <c:v>26273</c:v>
                </c:pt>
                <c:pt idx="68">
                  <c:v>10858</c:v>
                </c:pt>
                <c:pt idx="69">
                  <c:v>25038</c:v>
                </c:pt>
                <c:pt idx="70">
                  <c:v>9092</c:v>
                </c:pt>
                <c:pt idx="71">
                  <c:v>17662</c:v>
                </c:pt>
                <c:pt idx="72">
                  <c:v>5924</c:v>
                </c:pt>
                <c:pt idx="73">
                  <c:v>25347</c:v>
                </c:pt>
                <c:pt idx="74">
                  <c:v>8910</c:v>
                </c:pt>
                <c:pt idx="75">
                  <c:v>20438</c:v>
                </c:pt>
                <c:pt idx="76">
                  <c:v>8760</c:v>
                </c:pt>
                <c:pt idx="77">
                  <c:v>6625</c:v>
                </c:pt>
                <c:pt idx="78">
                  <c:v>23329</c:v>
                </c:pt>
                <c:pt idx="79">
                  <c:v>7299</c:v>
                </c:pt>
                <c:pt idx="80">
                  <c:v>14496</c:v>
                </c:pt>
                <c:pt idx="81">
                  <c:v>25703</c:v>
                </c:pt>
                <c:pt idx="82">
                  <c:v>15108</c:v>
                </c:pt>
                <c:pt idx="83">
                  <c:v>18867</c:v>
                </c:pt>
                <c:pt idx="84">
                  <c:v>17574</c:v>
                </c:pt>
                <c:pt idx="85">
                  <c:v>12840</c:v>
                </c:pt>
                <c:pt idx="86">
                  <c:v>21079</c:v>
                </c:pt>
                <c:pt idx="87">
                  <c:v>23486</c:v>
                </c:pt>
                <c:pt idx="88">
                  <c:v>5960</c:v>
                </c:pt>
                <c:pt idx="89">
                  <c:v>13301</c:v>
                </c:pt>
                <c:pt idx="90">
                  <c:v>10563</c:v>
                </c:pt>
                <c:pt idx="91">
                  <c:v>19949</c:v>
                </c:pt>
                <c:pt idx="92">
                  <c:v>14273</c:v>
                </c:pt>
                <c:pt idx="93">
                  <c:v>9247</c:v>
                </c:pt>
                <c:pt idx="94">
                  <c:v>11972</c:v>
                </c:pt>
                <c:pt idx="95">
                  <c:v>13314</c:v>
                </c:pt>
                <c:pt idx="96">
                  <c:v>14749</c:v>
                </c:pt>
                <c:pt idx="97">
                  <c:v>6868</c:v>
                </c:pt>
                <c:pt idx="98">
                  <c:v>6027</c:v>
                </c:pt>
                <c:pt idx="99">
                  <c:v>25267</c:v>
                </c:pt>
                <c:pt idx="100">
                  <c:v>5900</c:v>
                </c:pt>
                <c:pt idx="101">
                  <c:v>11181</c:v>
                </c:pt>
                <c:pt idx="102">
                  <c:v>9592</c:v>
                </c:pt>
                <c:pt idx="103">
                  <c:v>5291</c:v>
                </c:pt>
                <c:pt idx="104">
                  <c:v>22244</c:v>
                </c:pt>
                <c:pt idx="105">
                  <c:v>6824</c:v>
                </c:pt>
                <c:pt idx="106">
                  <c:v>24112</c:v>
                </c:pt>
                <c:pt idx="107">
                  <c:v>25478</c:v>
                </c:pt>
                <c:pt idx="108">
                  <c:v>11235</c:v>
                </c:pt>
                <c:pt idx="109">
                  <c:v>6120</c:v>
                </c:pt>
                <c:pt idx="110">
                  <c:v>20572</c:v>
                </c:pt>
                <c:pt idx="111">
                  <c:v>14975</c:v>
                </c:pt>
                <c:pt idx="112">
                  <c:v>22234</c:v>
                </c:pt>
                <c:pt idx="113">
                  <c:v>6532</c:v>
                </c:pt>
                <c:pt idx="114">
                  <c:v>24858</c:v>
                </c:pt>
                <c:pt idx="115">
                  <c:v>13883</c:v>
                </c:pt>
                <c:pt idx="116">
                  <c:v>18654</c:v>
                </c:pt>
                <c:pt idx="117">
                  <c:v>25234</c:v>
                </c:pt>
                <c:pt idx="118">
                  <c:v>6772</c:v>
                </c:pt>
                <c:pt idx="119">
                  <c:v>22428</c:v>
                </c:pt>
                <c:pt idx="120">
                  <c:v>11911</c:v>
                </c:pt>
                <c:pt idx="121">
                  <c:v>21900</c:v>
                </c:pt>
                <c:pt idx="122">
                  <c:v>25542</c:v>
                </c:pt>
                <c:pt idx="123">
                  <c:v>7140</c:v>
                </c:pt>
                <c:pt idx="124">
                  <c:v>20474</c:v>
                </c:pt>
                <c:pt idx="125">
                  <c:v>8698</c:v>
                </c:pt>
                <c:pt idx="126">
                  <c:v>10402</c:v>
                </c:pt>
                <c:pt idx="127">
                  <c:v>26618</c:v>
                </c:pt>
                <c:pt idx="128">
                  <c:v>7975</c:v>
                </c:pt>
                <c:pt idx="129">
                  <c:v>19054</c:v>
                </c:pt>
                <c:pt idx="130">
                  <c:v>13740</c:v>
                </c:pt>
                <c:pt idx="131">
                  <c:v>18442</c:v>
                </c:pt>
                <c:pt idx="132">
                  <c:v>10104</c:v>
                </c:pt>
                <c:pt idx="133">
                  <c:v>21771</c:v>
                </c:pt>
                <c:pt idx="134">
                  <c:v>22191</c:v>
                </c:pt>
                <c:pt idx="135">
                  <c:v>27753</c:v>
                </c:pt>
                <c:pt idx="136">
                  <c:v>23736</c:v>
                </c:pt>
                <c:pt idx="137">
                  <c:v>27393</c:v>
                </c:pt>
                <c:pt idx="138">
                  <c:v>10343</c:v>
                </c:pt>
                <c:pt idx="139">
                  <c:v>25259</c:v>
                </c:pt>
                <c:pt idx="140">
                  <c:v>24827</c:v>
                </c:pt>
                <c:pt idx="141">
                  <c:v>11908</c:v>
                </c:pt>
                <c:pt idx="142">
                  <c:v>11005</c:v>
                </c:pt>
                <c:pt idx="143">
                  <c:v>26333</c:v>
                </c:pt>
                <c:pt idx="144">
                  <c:v>5495</c:v>
                </c:pt>
                <c:pt idx="145">
                  <c:v>15655</c:v>
                </c:pt>
                <c:pt idx="146">
                  <c:v>13763</c:v>
                </c:pt>
                <c:pt idx="147">
                  <c:v>26073</c:v>
                </c:pt>
                <c:pt idx="148">
                  <c:v>12774</c:v>
                </c:pt>
                <c:pt idx="149">
                  <c:v>19000</c:v>
                </c:pt>
                <c:pt idx="150">
                  <c:v>14051</c:v>
                </c:pt>
                <c:pt idx="151">
                  <c:v>27782</c:v>
                </c:pt>
                <c:pt idx="152">
                  <c:v>7859</c:v>
                </c:pt>
                <c:pt idx="153">
                  <c:v>15773</c:v>
                </c:pt>
                <c:pt idx="154">
                  <c:v>20595</c:v>
                </c:pt>
                <c:pt idx="155">
                  <c:v>12031</c:v>
                </c:pt>
                <c:pt idx="156">
                  <c:v>15128</c:v>
                </c:pt>
                <c:pt idx="157">
                  <c:v>11826</c:v>
                </c:pt>
                <c:pt idx="158">
                  <c:v>12562</c:v>
                </c:pt>
                <c:pt idx="159">
                  <c:v>13013</c:v>
                </c:pt>
                <c:pt idx="160">
                  <c:v>12937</c:v>
                </c:pt>
                <c:pt idx="161">
                  <c:v>14534</c:v>
                </c:pt>
                <c:pt idx="162">
                  <c:v>8182</c:v>
                </c:pt>
                <c:pt idx="163">
                  <c:v>10615</c:v>
                </c:pt>
                <c:pt idx="164">
                  <c:v>20109</c:v>
                </c:pt>
                <c:pt idx="165">
                  <c:v>26024</c:v>
                </c:pt>
                <c:pt idx="166">
                  <c:v>26730</c:v>
                </c:pt>
                <c:pt idx="167">
                  <c:v>10563</c:v>
                </c:pt>
                <c:pt idx="168">
                  <c:v>27575</c:v>
                </c:pt>
                <c:pt idx="169">
                  <c:v>14479</c:v>
                </c:pt>
                <c:pt idx="170">
                  <c:v>15915</c:v>
                </c:pt>
                <c:pt idx="171">
                  <c:v>12767</c:v>
                </c:pt>
                <c:pt idx="172">
                  <c:v>12170</c:v>
                </c:pt>
                <c:pt idx="173">
                  <c:v>7245</c:v>
                </c:pt>
                <c:pt idx="174">
                  <c:v>12985</c:v>
                </c:pt>
                <c:pt idx="175">
                  <c:v>16377</c:v>
                </c:pt>
                <c:pt idx="176">
                  <c:v>11453</c:v>
                </c:pt>
                <c:pt idx="177">
                  <c:v>12323</c:v>
                </c:pt>
                <c:pt idx="178">
                  <c:v>11911</c:v>
                </c:pt>
                <c:pt idx="179">
                  <c:v>27809</c:v>
                </c:pt>
                <c:pt idx="180">
                  <c:v>21464</c:v>
                </c:pt>
                <c:pt idx="181">
                  <c:v>27126</c:v>
                </c:pt>
                <c:pt idx="182">
                  <c:v>10681</c:v>
                </c:pt>
                <c:pt idx="183">
                  <c:v>5413</c:v>
                </c:pt>
                <c:pt idx="184">
                  <c:v>25058</c:v>
                </c:pt>
                <c:pt idx="185">
                  <c:v>18303</c:v>
                </c:pt>
                <c:pt idx="186">
                  <c:v>5526</c:v>
                </c:pt>
                <c:pt idx="187">
                  <c:v>17460</c:v>
                </c:pt>
                <c:pt idx="188">
                  <c:v>14475</c:v>
                </c:pt>
                <c:pt idx="189">
                  <c:v>20162</c:v>
                </c:pt>
                <c:pt idx="190">
                  <c:v>17103</c:v>
                </c:pt>
                <c:pt idx="191">
                  <c:v>15461</c:v>
                </c:pt>
                <c:pt idx="192">
                  <c:v>22103</c:v>
                </c:pt>
                <c:pt idx="193">
                  <c:v>11625</c:v>
                </c:pt>
                <c:pt idx="194">
                  <c:v>5281</c:v>
                </c:pt>
                <c:pt idx="195">
                  <c:v>13424</c:v>
                </c:pt>
                <c:pt idx="196">
                  <c:v>13140</c:v>
                </c:pt>
                <c:pt idx="197">
                  <c:v>19538</c:v>
                </c:pt>
                <c:pt idx="198">
                  <c:v>7881</c:v>
                </c:pt>
                <c:pt idx="199">
                  <c:v>11418</c:v>
                </c:pt>
              </c:numCache>
            </c:numRef>
          </c:xVal>
          <c:yVal>
            <c:numRef>
              <c:f>'Task 6'!$D$2:$D$201</c:f>
              <c:numCache>
                <c:formatCode>0.00</c:formatCode>
                <c:ptCount val="200"/>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4">
                  <c:v>0</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yVal>
          <c:smooth val="0"/>
          <c:extLst>
            <c:ext xmlns:c16="http://schemas.microsoft.com/office/drawing/2014/chart" uri="{C3380CC4-5D6E-409C-BE32-E72D297353CC}">
              <c16:uniqueId val="{00000000-CD06-4C3A-8268-5E205E3B0443}"/>
            </c:ext>
          </c:extLst>
        </c:ser>
        <c:dLbls>
          <c:showLegendKey val="0"/>
          <c:showVal val="0"/>
          <c:showCatName val="0"/>
          <c:showSerName val="0"/>
          <c:showPercent val="0"/>
          <c:showBubbleSize val="0"/>
        </c:dLbls>
        <c:axId val="610074207"/>
        <c:axId val="610074623"/>
      </c:scatterChart>
      <c:valAx>
        <c:axId val="610074207"/>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4623"/>
        <c:crosses val="autoZero"/>
        <c:crossBetween val="midCat"/>
      </c:valAx>
      <c:valAx>
        <c:axId val="610074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4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Moving Average of Follower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rgbClr val="00B0F0"/>
              </a:solidFill>
              <a:round/>
            </a:ln>
            <a:effectLst/>
          </c:spPr>
          <c:marker>
            <c:symbol val="none"/>
          </c:marker>
          <c:trendline>
            <c:spPr>
              <a:ln w="28575" cap="rnd" cmpd="sng">
                <a:solidFill>
                  <a:srgbClr val="FF0000"/>
                </a:solidFill>
                <a:prstDash val="solid"/>
              </a:ln>
              <a:effectLst/>
            </c:spPr>
            <c:trendlineType val="movingAvg"/>
            <c:period val="6"/>
            <c:dispRSqr val="0"/>
            <c:dispEq val="0"/>
          </c:trendline>
          <c:cat>
            <c:numRef>
              <c:f>'Engagement Summary'!$A$2:$A$207</c:f>
              <c:numCache>
                <c:formatCode>yyyy\-mm\-dd;@</c:formatCode>
                <c:ptCount val="206"/>
                <c:pt idx="0">
                  <c:v>45446</c:v>
                </c:pt>
                <c:pt idx="1">
                  <c:v>45446</c:v>
                </c:pt>
                <c:pt idx="2">
                  <c:v>45446</c:v>
                </c:pt>
                <c:pt idx="3">
                  <c:v>45453</c:v>
                </c:pt>
                <c:pt idx="4">
                  <c:v>45453</c:v>
                </c:pt>
                <c:pt idx="5">
                  <c:v>45453</c:v>
                </c:pt>
                <c:pt idx="6">
                  <c:v>45460</c:v>
                </c:pt>
                <c:pt idx="7">
                  <c:v>45460</c:v>
                </c:pt>
                <c:pt idx="8">
                  <c:v>45460</c:v>
                </c:pt>
                <c:pt idx="9">
                  <c:v>45467</c:v>
                </c:pt>
                <c:pt idx="10">
                  <c:v>45467</c:v>
                </c:pt>
                <c:pt idx="11">
                  <c:v>45467</c:v>
                </c:pt>
                <c:pt idx="12">
                  <c:v>45474</c:v>
                </c:pt>
                <c:pt idx="13">
                  <c:v>45474</c:v>
                </c:pt>
                <c:pt idx="14">
                  <c:v>45474</c:v>
                </c:pt>
                <c:pt idx="15">
                  <c:v>45481</c:v>
                </c:pt>
                <c:pt idx="16">
                  <c:v>45481</c:v>
                </c:pt>
                <c:pt idx="17">
                  <c:v>45481</c:v>
                </c:pt>
                <c:pt idx="18">
                  <c:v>45488</c:v>
                </c:pt>
                <c:pt idx="19">
                  <c:v>45488</c:v>
                </c:pt>
                <c:pt idx="20">
                  <c:v>45488</c:v>
                </c:pt>
                <c:pt idx="21">
                  <c:v>45495</c:v>
                </c:pt>
                <c:pt idx="22">
                  <c:v>45495</c:v>
                </c:pt>
                <c:pt idx="23">
                  <c:v>45495</c:v>
                </c:pt>
                <c:pt idx="24">
                  <c:v>45502</c:v>
                </c:pt>
                <c:pt idx="25">
                  <c:v>45502</c:v>
                </c:pt>
                <c:pt idx="26">
                  <c:v>45502</c:v>
                </c:pt>
                <c:pt idx="27">
                  <c:v>45509</c:v>
                </c:pt>
                <c:pt idx="28">
                  <c:v>45509</c:v>
                </c:pt>
                <c:pt idx="29">
                  <c:v>45509</c:v>
                </c:pt>
                <c:pt idx="30">
                  <c:v>45516</c:v>
                </c:pt>
                <c:pt idx="31">
                  <c:v>45516</c:v>
                </c:pt>
                <c:pt idx="32">
                  <c:v>45516</c:v>
                </c:pt>
                <c:pt idx="33">
                  <c:v>45523</c:v>
                </c:pt>
                <c:pt idx="34">
                  <c:v>45523</c:v>
                </c:pt>
                <c:pt idx="35">
                  <c:v>45523</c:v>
                </c:pt>
                <c:pt idx="36">
                  <c:v>45530</c:v>
                </c:pt>
                <c:pt idx="37">
                  <c:v>45530</c:v>
                </c:pt>
                <c:pt idx="38">
                  <c:v>45530</c:v>
                </c:pt>
                <c:pt idx="39">
                  <c:v>45537</c:v>
                </c:pt>
                <c:pt idx="40">
                  <c:v>45537</c:v>
                </c:pt>
                <c:pt idx="41">
                  <c:v>45537</c:v>
                </c:pt>
                <c:pt idx="42">
                  <c:v>45544</c:v>
                </c:pt>
                <c:pt idx="43">
                  <c:v>45544</c:v>
                </c:pt>
                <c:pt idx="44">
                  <c:v>45544</c:v>
                </c:pt>
                <c:pt idx="45">
                  <c:v>45551</c:v>
                </c:pt>
                <c:pt idx="46">
                  <c:v>45551</c:v>
                </c:pt>
                <c:pt idx="47">
                  <c:v>45551</c:v>
                </c:pt>
                <c:pt idx="48">
                  <c:v>45558</c:v>
                </c:pt>
                <c:pt idx="49">
                  <c:v>45558</c:v>
                </c:pt>
                <c:pt idx="50">
                  <c:v>45558</c:v>
                </c:pt>
                <c:pt idx="51">
                  <c:v>45565</c:v>
                </c:pt>
                <c:pt idx="52">
                  <c:v>45565</c:v>
                </c:pt>
                <c:pt idx="53">
                  <c:v>45565</c:v>
                </c:pt>
                <c:pt idx="54">
                  <c:v>45572</c:v>
                </c:pt>
                <c:pt idx="55">
                  <c:v>45572</c:v>
                </c:pt>
                <c:pt idx="56">
                  <c:v>45572</c:v>
                </c:pt>
                <c:pt idx="57">
                  <c:v>45579</c:v>
                </c:pt>
                <c:pt idx="58">
                  <c:v>45579</c:v>
                </c:pt>
                <c:pt idx="59">
                  <c:v>45579</c:v>
                </c:pt>
                <c:pt idx="60">
                  <c:v>45586</c:v>
                </c:pt>
                <c:pt idx="61">
                  <c:v>45586</c:v>
                </c:pt>
                <c:pt idx="62">
                  <c:v>45586</c:v>
                </c:pt>
                <c:pt idx="63">
                  <c:v>45593</c:v>
                </c:pt>
                <c:pt idx="64">
                  <c:v>45593</c:v>
                </c:pt>
                <c:pt idx="65">
                  <c:v>45593</c:v>
                </c:pt>
                <c:pt idx="66">
                  <c:v>45600</c:v>
                </c:pt>
                <c:pt idx="67">
                  <c:v>45600</c:v>
                </c:pt>
                <c:pt idx="68">
                  <c:v>45600</c:v>
                </c:pt>
                <c:pt idx="69">
                  <c:v>45607</c:v>
                </c:pt>
                <c:pt idx="70">
                  <c:v>45607</c:v>
                </c:pt>
                <c:pt idx="71">
                  <c:v>45607</c:v>
                </c:pt>
                <c:pt idx="72">
                  <c:v>45614</c:v>
                </c:pt>
                <c:pt idx="73">
                  <c:v>45614</c:v>
                </c:pt>
                <c:pt idx="74">
                  <c:v>45614</c:v>
                </c:pt>
                <c:pt idx="75">
                  <c:v>45621</c:v>
                </c:pt>
                <c:pt idx="76">
                  <c:v>45621</c:v>
                </c:pt>
                <c:pt idx="77">
                  <c:v>45621</c:v>
                </c:pt>
                <c:pt idx="78">
                  <c:v>45628</c:v>
                </c:pt>
                <c:pt idx="79">
                  <c:v>45628</c:v>
                </c:pt>
                <c:pt idx="80">
                  <c:v>45628</c:v>
                </c:pt>
                <c:pt idx="81">
                  <c:v>45635</c:v>
                </c:pt>
                <c:pt idx="82">
                  <c:v>45635</c:v>
                </c:pt>
                <c:pt idx="83">
                  <c:v>45635</c:v>
                </c:pt>
                <c:pt idx="84">
                  <c:v>45642</c:v>
                </c:pt>
                <c:pt idx="85">
                  <c:v>45642</c:v>
                </c:pt>
                <c:pt idx="86">
                  <c:v>45642</c:v>
                </c:pt>
                <c:pt idx="87">
                  <c:v>45649</c:v>
                </c:pt>
                <c:pt idx="88">
                  <c:v>45649</c:v>
                </c:pt>
                <c:pt idx="89">
                  <c:v>45649</c:v>
                </c:pt>
                <c:pt idx="90">
                  <c:v>45656</c:v>
                </c:pt>
                <c:pt idx="91">
                  <c:v>45656</c:v>
                </c:pt>
                <c:pt idx="92">
                  <c:v>45656</c:v>
                </c:pt>
                <c:pt idx="93">
                  <c:v>45663</c:v>
                </c:pt>
                <c:pt idx="94">
                  <c:v>45663</c:v>
                </c:pt>
                <c:pt idx="95">
                  <c:v>45663</c:v>
                </c:pt>
                <c:pt idx="96">
                  <c:v>45670</c:v>
                </c:pt>
                <c:pt idx="97">
                  <c:v>45670</c:v>
                </c:pt>
                <c:pt idx="98">
                  <c:v>45670</c:v>
                </c:pt>
                <c:pt idx="99">
                  <c:v>45677</c:v>
                </c:pt>
                <c:pt idx="100">
                  <c:v>45677</c:v>
                </c:pt>
                <c:pt idx="101">
                  <c:v>45677</c:v>
                </c:pt>
                <c:pt idx="102">
                  <c:v>45684</c:v>
                </c:pt>
                <c:pt idx="103">
                  <c:v>45684</c:v>
                </c:pt>
                <c:pt idx="104">
                  <c:v>45684</c:v>
                </c:pt>
                <c:pt idx="105">
                  <c:v>45691</c:v>
                </c:pt>
                <c:pt idx="106">
                  <c:v>45691</c:v>
                </c:pt>
                <c:pt idx="107">
                  <c:v>45691</c:v>
                </c:pt>
                <c:pt idx="108">
                  <c:v>45698</c:v>
                </c:pt>
                <c:pt idx="109">
                  <c:v>45698</c:v>
                </c:pt>
                <c:pt idx="110">
                  <c:v>45698</c:v>
                </c:pt>
                <c:pt idx="111">
                  <c:v>45705</c:v>
                </c:pt>
                <c:pt idx="112">
                  <c:v>45705</c:v>
                </c:pt>
                <c:pt idx="113">
                  <c:v>45705</c:v>
                </c:pt>
                <c:pt idx="114">
                  <c:v>45712</c:v>
                </c:pt>
                <c:pt idx="115">
                  <c:v>45712</c:v>
                </c:pt>
                <c:pt idx="116">
                  <c:v>45712</c:v>
                </c:pt>
                <c:pt idx="117">
                  <c:v>45719</c:v>
                </c:pt>
                <c:pt idx="118">
                  <c:v>45719</c:v>
                </c:pt>
                <c:pt idx="119">
                  <c:v>45719</c:v>
                </c:pt>
                <c:pt idx="120">
                  <c:v>45726</c:v>
                </c:pt>
                <c:pt idx="121">
                  <c:v>45726</c:v>
                </c:pt>
                <c:pt idx="122">
                  <c:v>45726</c:v>
                </c:pt>
                <c:pt idx="123">
                  <c:v>45733</c:v>
                </c:pt>
                <c:pt idx="124">
                  <c:v>45733</c:v>
                </c:pt>
                <c:pt idx="125">
                  <c:v>45733</c:v>
                </c:pt>
                <c:pt idx="126">
                  <c:v>45740</c:v>
                </c:pt>
                <c:pt idx="127">
                  <c:v>45740</c:v>
                </c:pt>
                <c:pt idx="128">
                  <c:v>45740</c:v>
                </c:pt>
                <c:pt idx="129">
                  <c:v>45747</c:v>
                </c:pt>
                <c:pt idx="130">
                  <c:v>45747</c:v>
                </c:pt>
                <c:pt idx="131">
                  <c:v>45747</c:v>
                </c:pt>
                <c:pt idx="132">
                  <c:v>45754</c:v>
                </c:pt>
                <c:pt idx="133">
                  <c:v>45754</c:v>
                </c:pt>
                <c:pt idx="134">
                  <c:v>45754</c:v>
                </c:pt>
                <c:pt idx="135">
                  <c:v>45761</c:v>
                </c:pt>
                <c:pt idx="136">
                  <c:v>45761</c:v>
                </c:pt>
                <c:pt idx="137">
                  <c:v>45761</c:v>
                </c:pt>
                <c:pt idx="138">
                  <c:v>45768</c:v>
                </c:pt>
                <c:pt idx="139">
                  <c:v>45768</c:v>
                </c:pt>
                <c:pt idx="140">
                  <c:v>45768</c:v>
                </c:pt>
                <c:pt idx="141">
                  <c:v>45775</c:v>
                </c:pt>
                <c:pt idx="142">
                  <c:v>45775</c:v>
                </c:pt>
                <c:pt idx="143">
                  <c:v>45775</c:v>
                </c:pt>
                <c:pt idx="145">
                  <c:v>45782</c:v>
                </c:pt>
                <c:pt idx="146">
                  <c:v>45782</c:v>
                </c:pt>
                <c:pt idx="147">
                  <c:v>45789</c:v>
                </c:pt>
                <c:pt idx="148">
                  <c:v>45789</c:v>
                </c:pt>
                <c:pt idx="149">
                  <c:v>45789</c:v>
                </c:pt>
                <c:pt idx="150">
                  <c:v>45796</c:v>
                </c:pt>
                <c:pt idx="151">
                  <c:v>45796</c:v>
                </c:pt>
                <c:pt idx="152">
                  <c:v>45796</c:v>
                </c:pt>
                <c:pt idx="153">
                  <c:v>45803</c:v>
                </c:pt>
                <c:pt idx="154">
                  <c:v>45803</c:v>
                </c:pt>
                <c:pt idx="155">
                  <c:v>45803</c:v>
                </c:pt>
                <c:pt idx="156">
                  <c:v>45810</c:v>
                </c:pt>
                <c:pt idx="157">
                  <c:v>45810</c:v>
                </c:pt>
                <c:pt idx="158">
                  <c:v>45810</c:v>
                </c:pt>
                <c:pt idx="159">
                  <c:v>45817</c:v>
                </c:pt>
                <c:pt idx="160">
                  <c:v>45817</c:v>
                </c:pt>
                <c:pt idx="161">
                  <c:v>45817</c:v>
                </c:pt>
                <c:pt idx="162">
                  <c:v>45824</c:v>
                </c:pt>
                <c:pt idx="163">
                  <c:v>45824</c:v>
                </c:pt>
                <c:pt idx="164">
                  <c:v>45824</c:v>
                </c:pt>
                <c:pt idx="165">
                  <c:v>45831</c:v>
                </c:pt>
                <c:pt idx="166">
                  <c:v>45831</c:v>
                </c:pt>
                <c:pt idx="167">
                  <c:v>45831</c:v>
                </c:pt>
                <c:pt idx="168">
                  <c:v>45838</c:v>
                </c:pt>
                <c:pt idx="169">
                  <c:v>45838</c:v>
                </c:pt>
                <c:pt idx="170">
                  <c:v>45838</c:v>
                </c:pt>
                <c:pt idx="171">
                  <c:v>45845</c:v>
                </c:pt>
                <c:pt idx="172">
                  <c:v>45845</c:v>
                </c:pt>
                <c:pt idx="173">
                  <c:v>45845</c:v>
                </c:pt>
                <c:pt idx="174">
                  <c:v>45852</c:v>
                </c:pt>
                <c:pt idx="175">
                  <c:v>45852</c:v>
                </c:pt>
                <c:pt idx="176">
                  <c:v>45852</c:v>
                </c:pt>
                <c:pt idx="177">
                  <c:v>45859</c:v>
                </c:pt>
                <c:pt idx="178">
                  <c:v>45859</c:v>
                </c:pt>
                <c:pt idx="179">
                  <c:v>45859</c:v>
                </c:pt>
                <c:pt idx="180">
                  <c:v>45866</c:v>
                </c:pt>
                <c:pt idx="181">
                  <c:v>45866</c:v>
                </c:pt>
                <c:pt idx="182">
                  <c:v>45866</c:v>
                </c:pt>
                <c:pt idx="183">
                  <c:v>45873</c:v>
                </c:pt>
                <c:pt idx="184">
                  <c:v>45873</c:v>
                </c:pt>
                <c:pt idx="185">
                  <c:v>45873</c:v>
                </c:pt>
                <c:pt idx="186">
                  <c:v>45880</c:v>
                </c:pt>
                <c:pt idx="187">
                  <c:v>45880</c:v>
                </c:pt>
                <c:pt idx="188">
                  <c:v>45880</c:v>
                </c:pt>
                <c:pt idx="189">
                  <c:v>45887</c:v>
                </c:pt>
                <c:pt idx="190">
                  <c:v>45887</c:v>
                </c:pt>
                <c:pt idx="191">
                  <c:v>45887</c:v>
                </c:pt>
                <c:pt idx="192">
                  <c:v>45894</c:v>
                </c:pt>
                <c:pt idx="193">
                  <c:v>45894</c:v>
                </c:pt>
                <c:pt idx="194">
                  <c:v>45894</c:v>
                </c:pt>
                <c:pt idx="195">
                  <c:v>45901</c:v>
                </c:pt>
                <c:pt idx="196">
                  <c:v>45901</c:v>
                </c:pt>
                <c:pt idx="197">
                  <c:v>45901</c:v>
                </c:pt>
                <c:pt idx="198">
                  <c:v>45908</c:v>
                </c:pt>
                <c:pt idx="199">
                  <c:v>45908</c:v>
                </c:pt>
              </c:numCache>
            </c:numRef>
          </c:cat>
          <c:val>
            <c:numRef>
              <c:f>'Engagement Summary'!$E$2:$E$207</c:f>
              <c:numCache>
                <c:formatCode>0.00</c:formatCode>
                <c:ptCount val="206"/>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val>
          <c:smooth val="0"/>
          <c:extLst>
            <c:ext xmlns:c16="http://schemas.microsoft.com/office/drawing/2014/chart" uri="{C3380CC4-5D6E-409C-BE32-E72D297353CC}">
              <c16:uniqueId val="{00000000-768C-42E5-A421-3FC2AF4358FC}"/>
            </c:ext>
          </c:extLst>
        </c:ser>
        <c:dLbls>
          <c:showLegendKey val="0"/>
          <c:showVal val="0"/>
          <c:showCatName val="0"/>
          <c:showSerName val="0"/>
          <c:showPercent val="0"/>
          <c:showBubbleSize val="0"/>
        </c:dLbls>
        <c:smooth val="0"/>
        <c:axId val="1124713264"/>
        <c:axId val="1511990640"/>
      </c:lineChart>
      <c:dateAx>
        <c:axId val="112471326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90640"/>
        <c:crosses val="autoZero"/>
        <c:auto val="1"/>
        <c:lblOffset val="100"/>
        <c:baseTimeUnit val="days"/>
      </c:dateAx>
      <c:valAx>
        <c:axId val="1511990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clg.xlsx]TASK3!PivotTable14</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D6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TASK3!$E$21</c:f>
              <c:strCache>
                <c:ptCount val="1"/>
                <c:pt idx="0">
                  <c:v>Sum of Ad_Spend</c:v>
                </c:pt>
              </c:strCache>
            </c:strRef>
          </c:tx>
          <c:spPr>
            <a:solidFill>
              <a:srgbClr val="00D661"/>
            </a:solidFill>
            <a:ln>
              <a:noFill/>
            </a:ln>
            <a:effectLst/>
          </c:spPr>
          <c:invertIfNegative val="0"/>
          <c:cat>
            <c:strRef>
              <c:f>TASK3!$D$22:$D$25</c:f>
              <c:strCache>
                <c:ptCount val="3"/>
                <c:pt idx="0">
                  <c:v>Instagram</c:v>
                </c:pt>
                <c:pt idx="1">
                  <c:v>Twitter</c:v>
                </c:pt>
                <c:pt idx="2">
                  <c:v>YouTube</c:v>
                </c:pt>
              </c:strCache>
            </c:strRef>
          </c:cat>
          <c:val>
            <c:numRef>
              <c:f>TASK3!$E$22:$E$25</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0-3E08-4E8E-B07E-93B268A2B60B}"/>
            </c:ext>
          </c:extLst>
        </c:ser>
        <c:dLbls>
          <c:showLegendKey val="0"/>
          <c:showVal val="0"/>
          <c:showCatName val="0"/>
          <c:showSerName val="0"/>
          <c:showPercent val="0"/>
          <c:showBubbleSize val="0"/>
        </c:dLbls>
        <c:gapWidth val="219"/>
        <c:overlap val="-27"/>
        <c:axId val="508126847"/>
        <c:axId val="508127679"/>
      </c:barChart>
      <c:lineChart>
        <c:grouping val="standard"/>
        <c:varyColors val="0"/>
        <c:ser>
          <c:idx val="1"/>
          <c:order val="1"/>
          <c:tx>
            <c:strRef>
              <c:f>TASK3!$F$21</c:f>
              <c:strCache>
                <c:ptCount val="1"/>
                <c:pt idx="0">
                  <c:v>Sum of Engagement_Rate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TASK3!$D$22:$D$25</c:f>
              <c:strCache>
                <c:ptCount val="3"/>
                <c:pt idx="0">
                  <c:v>Instagram</c:v>
                </c:pt>
                <c:pt idx="1">
                  <c:v>Twitter</c:v>
                </c:pt>
                <c:pt idx="2">
                  <c:v>YouTube</c:v>
                </c:pt>
              </c:strCache>
            </c:strRef>
          </c:cat>
          <c:val>
            <c:numRef>
              <c:f>TASK3!$F$22:$F$25</c:f>
              <c:numCache>
                <c:formatCode>General</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1-3E08-4E8E-B07E-93B268A2B60B}"/>
            </c:ext>
          </c:extLst>
        </c:ser>
        <c:dLbls>
          <c:showLegendKey val="0"/>
          <c:showVal val="0"/>
          <c:showCatName val="0"/>
          <c:showSerName val="0"/>
          <c:showPercent val="0"/>
          <c:showBubbleSize val="0"/>
        </c:dLbls>
        <c:marker val="1"/>
        <c:smooth val="0"/>
        <c:axId val="508126431"/>
        <c:axId val="508128095"/>
      </c:lineChart>
      <c:catAx>
        <c:axId val="50812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8127679"/>
        <c:crosses val="autoZero"/>
        <c:auto val="1"/>
        <c:lblAlgn val="ctr"/>
        <c:lblOffset val="100"/>
        <c:noMultiLvlLbl val="0"/>
      </c:catAx>
      <c:valAx>
        <c:axId val="508127679"/>
        <c:scaling>
          <c:orientation val="minMax"/>
        </c:scaling>
        <c:delete val="0"/>
        <c:axPos val="l"/>
        <c:majorGridlines>
          <c:spPr>
            <a:ln w="6350" cap="flat" cmpd="sng" algn="ctr">
              <a:solidFill>
                <a:srgbClr val="00D661">
                  <a:alpha val="34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alpha val="97000"/>
                  </a:schemeClr>
                </a:solidFill>
                <a:latin typeface="+mn-lt"/>
                <a:ea typeface="+mn-ea"/>
                <a:cs typeface="+mn-cs"/>
              </a:defRPr>
            </a:pPr>
            <a:endParaRPr lang="en-US"/>
          </a:p>
        </c:txPr>
        <c:crossAx val="508126847"/>
        <c:crosses val="autoZero"/>
        <c:crossBetween val="between"/>
      </c:valAx>
      <c:valAx>
        <c:axId val="5081280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8126431"/>
        <c:crosses val="max"/>
        <c:crossBetween val="between"/>
      </c:valAx>
      <c:catAx>
        <c:axId val="508126431"/>
        <c:scaling>
          <c:orientation val="minMax"/>
        </c:scaling>
        <c:delete val="1"/>
        <c:axPos val="b"/>
        <c:numFmt formatCode="General" sourceLinked="1"/>
        <c:majorTickMark val="none"/>
        <c:minorTickMark val="none"/>
        <c:tickLblPos val="nextTo"/>
        <c:crossAx val="508128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Ad Spend vs. Follower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854566693820622"/>
          <c:y val="0.14836004672757377"/>
          <c:w val="0.80427393828638005"/>
          <c:h val="0.77084685695963995"/>
        </c:manualLayout>
      </c:layout>
      <c:scatterChart>
        <c:scatterStyle val="lineMarker"/>
        <c:varyColors val="0"/>
        <c:ser>
          <c:idx val="0"/>
          <c:order val="0"/>
          <c:tx>
            <c:strRef>
              <c:f>'Task 6'!$D$1</c:f>
              <c:strCache>
                <c:ptCount val="1"/>
                <c:pt idx="0">
                  <c:v>net followers grth</c:v>
                </c:pt>
              </c:strCache>
            </c:strRef>
          </c:tx>
          <c:spPr>
            <a:ln w="19050" cap="rnd">
              <a:noFill/>
              <a:round/>
            </a:ln>
            <a:effectLst/>
          </c:spPr>
          <c:marker>
            <c:symbol val="circle"/>
            <c:size val="5"/>
            <c:spPr>
              <a:solidFill>
                <a:srgbClr val="00D661"/>
              </a:solidFill>
              <a:ln w="9525">
                <a:no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FF0000"/>
                </a:solidFill>
                <a:prstDash val="sysDot"/>
              </a:ln>
              <a:effectLst/>
            </c:spPr>
            <c:trendlineType val="linear"/>
            <c:dispRSqr val="0"/>
            <c:dispEq val="0"/>
          </c:trendline>
          <c:xVal>
            <c:numRef>
              <c:f>'Task 6'!$C$2:$C$201</c:f>
              <c:numCache>
                <c:formatCode>[$₹-4009]\ #,##0.00</c:formatCode>
                <c:ptCount val="200"/>
                <c:pt idx="0">
                  <c:v>23125</c:v>
                </c:pt>
                <c:pt idx="1">
                  <c:v>22788</c:v>
                </c:pt>
                <c:pt idx="2">
                  <c:v>7810</c:v>
                </c:pt>
                <c:pt idx="3">
                  <c:v>11966</c:v>
                </c:pt>
                <c:pt idx="4">
                  <c:v>26298</c:v>
                </c:pt>
                <c:pt idx="5">
                  <c:v>22029</c:v>
                </c:pt>
                <c:pt idx="6">
                  <c:v>12391</c:v>
                </c:pt>
                <c:pt idx="7">
                  <c:v>14477</c:v>
                </c:pt>
                <c:pt idx="8">
                  <c:v>25040</c:v>
                </c:pt>
                <c:pt idx="9">
                  <c:v>22619</c:v>
                </c:pt>
                <c:pt idx="10">
                  <c:v>12399</c:v>
                </c:pt>
                <c:pt idx="11">
                  <c:v>22456</c:v>
                </c:pt>
                <c:pt idx="12">
                  <c:v>19328</c:v>
                </c:pt>
                <c:pt idx="13">
                  <c:v>21107</c:v>
                </c:pt>
                <c:pt idx="14">
                  <c:v>12277</c:v>
                </c:pt>
                <c:pt idx="15">
                  <c:v>11684</c:v>
                </c:pt>
                <c:pt idx="16">
                  <c:v>14412</c:v>
                </c:pt>
                <c:pt idx="17">
                  <c:v>15924</c:v>
                </c:pt>
                <c:pt idx="18">
                  <c:v>12390</c:v>
                </c:pt>
                <c:pt idx="19">
                  <c:v>25742</c:v>
                </c:pt>
                <c:pt idx="20">
                  <c:v>10495</c:v>
                </c:pt>
                <c:pt idx="21">
                  <c:v>7797</c:v>
                </c:pt>
                <c:pt idx="22">
                  <c:v>15595</c:v>
                </c:pt>
                <c:pt idx="23">
                  <c:v>24617</c:v>
                </c:pt>
                <c:pt idx="24">
                  <c:v>9847</c:v>
                </c:pt>
                <c:pt idx="25">
                  <c:v>13644</c:v>
                </c:pt>
                <c:pt idx="26">
                  <c:v>11421</c:v>
                </c:pt>
                <c:pt idx="27">
                  <c:v>15613</c:v>
                </c:pt>
                <c:pt idx="28">
                  <c:v>23900</c:v>
                </c:pt>
                <c:pt idx="29">
                  <c:v>5836</c:v>
                </c:pt>
                <c:pt idx="30">
                  <c:v>5624</c:v>
                </c:pt>
                <c:pt idx="31">
                  <c:v>10311</c:v>
                </c:pt>
                <c:pt idx="32">
                  <c:v>8274</c:v>
                </c:pt>
                <c:pt idx="33">
                  <c:v>6031</c:v>
                </c:pt>
                <c:pt idx="34">
                  <c:v>27829</c:v>
                </c:pt>
                <c:pt idx="35">
                  <c:v>18267</c:v>
                </c:pt>
                <c:pt idx="36">
                  <c:v>26624</c:v>
                </c:pt>
                <c:pt idx="37">
                  <c:v>26644</c:v>
                </c:pt>
                <c:pt idx="38">
                  <c:v>13051</c:v>
                </c:pt>
                <c:pt idx="39">
                  <c:v>14217</c:v>
                </c:pt>
                <c:pt idx="40">
                  <c:v>16385</c:v>
                </c:pt>
                <c:pt idx="41">
                  <c:v>24548</c:v>
                </c:pt>
                <c:pt idx="42">
                  <c:v>9195</c:v>
                </c:pt>
                <c:pt idx="43">
                  <c:v>18071</c:v>
                </c:pt>
                <c:pt idx="44">
                  <c:v>16875</c:v>
                </c:pt>
                <c:pt idx="45">
                  <c:v>9567</c:v>
                </c:pt>
                <c:pt idx="46">
                  <c:v>20306</c:v>
                </c:pt>
                <c:pt idx="47">
                  <c:v>21134</c:v>
                </c:pt>
                <c:pt idx="48">
                  <c:v>26872</c:v>
                </c:pt>
                <c:pt idx="49">
                  <c:v>10253</c:v>
                </c:pt>
                <c:pt idx="50">
                  <c:v>23963</c:v>
                </c:pt>
                <c:pt idx="51">
                  <c:v>11335</c:v>
                </c:pt>
                <c:pt idx="52">
                  <c:v>12115</c:v>
                </c:pt>
                <c:pt idx="53">
                  <c:v>24358</c:v>
                </c:pt>
                <c:pt idx="54">
                  <c:v>12181</c:v>
                </c:pt>
                <c:pt idx="55">
                  <c:v>17729</c:v>
                </c:pt>
                <c:pt idx="56">
                  <c:v>10881</c:v>
                </c:pt>
                <c:pt idx="57">
                  <c:v>18576</c:v>
                </c:pt>
                <c:pt idx="58">
                  <c:v>9383</c:v>
                </c:pt>
                <c:pt idx="59">
                  <c:v>14178</c:v>
                </c:pt>
                <c:pt idx="60">
                  <c:v>21254</c:v>
                </c:pt>
                <c:pt idx="61">
                  <c:v>14215</c:v>
                </c:pt>
                <c:pt idx="62">
                  <c:v>16921</c:v>
                </c:pt>
                <c:pt idx="63">
                  <c:v>25130</c:v>
                </c:pt>
                <c:pt idx="64">
                  <c:v>25537</c:v>
                </c:pt>
                <c:pt idx="65">
                  <c:v>24943</c:v>
                </c:pt>
                <c:pt idx="66">
                  <c:v>14563</c:v>
                </c:pt>
                <c:pt idx="67">
                  <c:v>26273</c:v>
                </c:pt>
                <c:pt idx="68">
                  <c:v>10858</c:v>
                </c:pt>
                <c:pt idx="69">
                  <c:v>25038</c:v>
                </c:pt>
                <c:pt idx="70">
                  <c:v>9092</c:v>
                </c:pt>
                <c:pt idx="71">
                  <c:v>17662</c:v>
                </c:pt>
                <c:pt idx="72">
                  <c:v>5924</c:v>
                </c:pt>
                <c:pt idx="73">
                  <c:v>25347</c:v>
                </c:pt>
                <c:pt idx="74">
                  <c:v>8910</c:v>
                </c:pt>
                <c:pt idx="75">
                  <c:v>20438</c:v>
                </c:pt>
                <c:pt idx="76">
                  <c:v>8760</c:v>
                </c:pt>
                <c:pt idx="77">
                  <c:v>6625</c:v>
                </c:pt>
                <c:pt idx="78">
                  <c:v>23329</c:v>
                </c:pt>
                <c:pt idx="79">
                  <c:v>7299</c:v>
                </c:pt>
                <c:pt idx="80">
                  <c:v>14496</c:v>
                </c:pt>
                <c:pt idx="81">
                  <c:v>25703</c:v>
                </c:pt>
                <c:pt idx="82">
                  <c:v>15108</c:v>
                </c:pt>
                <c:pt idx="83">
                  <c:v>18867</c:v>
                </c:pt>
                <c:pt idx="84">
                  <c:v>17574</c:v>
                </c:pt>
                <c:pt idx="85">
                  <c:v>12840</c:v>
                </c:pt>
                <c:pt idx="86">
                  <c:v>21079</c:v>
                </c:pt>
                <c:pt idx="87">
                  <c:v>23486</c:v>
                </c:pt>
                <c:pt idx="88">
                  <c:v>5960</c:v>
                </c:pt>
                <c:pt idx="89">
                  <c:v>13301</c:v>
                </c:pt>
                <c:pt idx="90">
                  <c:v>10563</c:v>
                </c:pt>
                <c:pt idx="91">
                  <c:v>19949</c:v>
                </c:pt>
                <c:pt idx="92">
                  <c:v>14273</c:v>
                </c:pt>
                <c:pt idx="93">
                  <c:v>9247</c:v>
                </c:pt>
                <c:pt idx="94">
                  <c:v>11972</c:v>
                </c:pt>
                <c:pt idx="95">
                  <c:v>13314</c:v>
                </c:pt>
                <c:pt idx="96">
                  <c:v>14749</c:v>
                </c:pt>
                <c:pt idx="97">
                  <c:v>6868</c:v>
                </c:pt>
                <c:pt idx="98">
                  <c:v>6027</c:v>
                </c:pt>
                <c:pt idx="99">
                  <c:v>25267</c:v>
                </c:pt>
                <c:pt idx="100">
                  <c:v>5900</c:v>
                </c:pt>
                <c:pt idx="101">
                  <c:v>11181</c:v>
                </c:pt>
                <c:pt idx="102">
                  <c:v>9592</c:v>
                </c:pt>
                <c:pt idx="103">
                  <c:v>5291</c:v>
                </c:pt>
                <c:pt idx="104">
                  <c:v>22244</c:v>
                </c:pt>
                <c:pt idx="105">
                  <c:v>6824</c:v>
                </c:pt>
                <c:pt idx="106">
                  <c:v>24112</c:v>
                </c:pt>
                <c:pt idx="107">
                  <c:v>25478</c:v>
                </c:pt>
                <c:pt idx="108">
                  <c:v>11235</c:v>
                </c:pt>
                <c:pt idx="109">
                  <c:v>6120</c:v>
                </c:pt>
                <c:pt idx="110">
                  <c:v>20572</c:v>
                </c:pt>
                <c:pt idx="111">
                  <c:v>14975</c:v>
                </c:pt>
                <c:pt idx="112">
                  <c:v>22234</c:v>
                </c:pt>
                <c:pt idx="113">
                  <c:v>6532</c:v>
                </c:pt>
                <c:pt idx="114">
                  <c:v>24858</c:v>
                </c:pt>
                <c:pt idx="115">
                  <c:v>13883</c:v>
                </c:pt>
                <c:pt idx="116">
                  <c:v>18654</c:v>
                </c:pt>
                <c:pt idx="117">
                  <c:v>25234</c:v>
                </c:pt>
                <c:pt idx="118">
                  <c:v>6772</c:v>
                </c:pt>
                <c:pt idx="119">
                  <c:v>22428</c:v>
                </c:pt>
                <c:pt idx="120">
                  <c:v>11911</c:v>
                </c:pt>
                <c:pt idx="121">
                  <c:v>21900</c:v>
                </c:pt>
                <c:pt idx="122">
                  <c:v>25542</c:v>
                </c:pt>
                <c:pt idx="123">
                  <c:v>7140</c:v>
                </c:pt>
                <c:pt idx="124">
                  <c:v>20474</c:v>
                </c:pt>
                <c:pt idx="125">
                  <c:v>8698</c:v>
                </c:pt>
                <c:pt idx="126">
                  <c:v>10402</c:v>
                </c:pt>
                <c:pt idx="127">
                  <c:v>26618</c:v>
                </c:pt>
                <c:pt idx="128">
                  <c:v>7975</c:v>
                </c:pt>
                <c:pt idx="129">
                  <c:v>19054</c:v>
                </c:pt>
                <c:pt idx="130">
                  <c:v>13740</c:v>
                </c:pt>
                <c:pt idx="131">
                  <c:v>18442</c:v>
                </c:pt>
                <c:pt idx="132">
                  <c:v>10104</c:v>
                </c:pt>
                <c:pt idx="133">
                  <c:v>21771</c:v>
                </c:pt>
                <c:pt idx="134">
                  <c:v>22191</c:v>
                </c:pt>
                <c:pt idx="135">
                  <c:v>27753</c:v>
                </c:pt>
                <c:pt idx="136">
                  <c:v>23736</c:v>
                </c:pt>
                <c:pt idx="137">
                  <c:v>27393</c:v>
                </c:pt>
                <c:pt idx="138">
                  <c:v>10343</c:v>
                </c:pt>
                <c:pt idx="139">
                  <c:v>25259</c:v>
                </c:pt>
                <c:pt idx="140">
                  <c:v>24827</c:v>
                </c:pt>
                <c:pt idx="141">
                  <c:v>11908</c:v>
                </c:pt>
                <c:pt idx="142">
                  <c:v>11005</c:v>
                </c:pt>
                <c:pt idx="143">
                  <c:v>26333</c:v>
                </c:pt>
                <c:pt idx="144">
                  <c:v>5495</c:v>
                </c:pt>
                <c:pt idx="145">
                  <c:v>15655</c:v>
                </c:pt>
                <c:pt idx="146">
                  <c:v>13763</c:v>
                </c:pt>
                <c:pt idx="147">
                  <c:v>26073</c:v>
                </c:pt>
                <c:pt idx="148">
                  <c:v>12774</c:v>
                </c:pt>
                <c:pt idx="149">
                  <c:v>19000</c:v>
                </c:pt>
                <c:pt idx="150">
                  <c:v>14051</c:v>
                </c:pt>
                <c:pt idx="151">
                  <c:v>27782</c:v>
                </c:pt>
                <c:pt idx="152">
                  <c:v>7859</c:v>
                </c:pt>
                <c:pt idx="153">
                  <c:v>15773</c:v>
                </c:pt>
                <c:pt idx="154">
                  <c:v>20595</c:v>
                </c:pt>
                <c:pt idx="155">
                  <c:v>12031</c:v>
                </c:pt>
                <c:pt idx="156">
                  <c:v>15128</c:v>
                </c:pt>
                <c:pt idx="157">
                  <c:v>11826</c:v>
                </c:pt>
                <c:pt idx="158">
                  <c:v>12562</c:v>
                </c:pt>
                <c:pt idx="159">
                  <c:v>13013</c:v>
                </c:pt>
                <c:pt idx="160">
                  <c:v>12937</c:v>
                </c:pt>
                <c:pt idx="161">
                  <c:v>14534</c:v>
                </c:pt>
                <c:pt idx="162">
                  <c:v>8182</c:v>
                </c:pt>
                <c:pt idx="163">
                  <c:v>10615</c:v>
                </c:pt>
                <c:pt idx="164">
                  <c:v>20109</c:v>
                </c:pt>
                <c:pt idx="165">
                  <c:v>26024</c:v>
                </c:pt>
                <c:pt idx="166">
                  <c:v>26730</c:v>
                </c:pt>
                <c:pt idx="167">
                  <c:v>10563</c:v>
                </c:pt>
                <c:pt idx="168">
                  <c:v>27575</c:v>
                </c:pt>
                <c:pt idx="169">
                  <c:v>14479</c:v>
                </c:pt>
                <c:pt idx="170">
                  <c:v>15915</c:v>
                </c:pt>
                <c:pt idx="171">
                  <c:v>12767</c:v>
                </c:pt>
                <c:pt idx="172">
                  <c:v>12170</c:v>
                </c:pt>
                <c:pt idx="173">
                  <c:v>7245</c:v>
                </c:pt>
                <c:pt idx="174">
                  <c:v>12985</c:v>
                </c:pt>
                <c:pt idx="175">
                  <c:v>16377</c:v>
                </c:pt>
                <c:pt idx="176">
                  <c:v>11453</c:v>
                </c:pt>
                <c:pt idx="177">
                  <c:v>12323</c:v>
                </c:pt>
                <c:pt idx="178">
                  <c:v>11911</c:v>
                </c:pt>
                <c:pt idx="179">
                  <c:v>27809</c:v>
                </c:pt>
                <c:pt idx="180">
                  <c:v>21464</c:v>
                </c:pt>
                <c:pt idx="181">
                  <c:v>27126</c:v>
                </c:pt>
                <c:pt idx="182">
                  <c:v>10681</c:v>
                </c:pt>
                <c:pt idx="183">
                  <c:v>5413</c:v>
                </c:pt>
                <c:pt idx="184">
                  <c:v>25058</c:v>
                </c:pt>
                <c:pt idx="185">
                  <c:v>18303</c:v>
                </c:pt>
                <c:pt idx="186">
                  <c:v>5526</c:v>
                </c:pt>
                <c:pt idx="187">
                  <c:v>17460</c:v>
                </c:pt>
                <c:pt idx="188">
                  <c:v>14475</c:v>
                </c:pt>
                <c:pt idx="189">
                  <c:v>20162</c:v>
                </c:pt>
                <c:pt idx="190">
                  <c:v>17103</c:v>
                </c:pt>
                <c:pt idx="191">
                  <c:v>15461</c:v>
                </c:pt>
                <c:pt idx="192">
                  <c:v>22103</c:v>
                </c:pt>
                <c:pt idx="193">
                  <c:v>11625</c:v>
                </c:pt>
                <c:pt idx="194">
                  <c:v>5281</c:v>
                </c:pt>
                <c:pt idx="195">
                  <c:v>13424</c:v>
                </c:pt>
                <c:pt idx="196">
                  <c:v>13140</c:v>
                </c:pt>
                <c:pt idx="197">
                  <c:v>19538</c:v>
                </c:pt>
                <c:pt idx="198">
                  <c:v>7881</c:v>
                </c:pt>
                <c:pt idx="199">
                  <c:v>11418</c:v>
                </c:pt>
              </c:numCache>
            </c:numRef>
          </c:xVal>
          <c:yVal>
            <c:numRef>
              <c:f>'Task 6'!$D$2:$D$201</c:f>
              <c:numCache>
                <c:formatCode>0.00</c:formatCode>
                <c:ptCount val="200"/>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4">
                  <c:v>0</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yVal>
          <c:smooth val="0"/>
          <c:extLst>
            <c:ext xmlns:c16="http://schemas.microsoft.com/office/drawing/2014/chart" uri="{C3380CC4-5D6E-409C-BE32-E72D297353CC}">
              <c16:uniqueId val="{00000005-F455-42E6-9B56-E52CCD285639}"/>
            </c:ext>
          </c:extLst>
        </c:ser>
        <c:dLbls>
          <c:showLegendKey val="0"/>
          <c:showVal val="0"/>
          <c:showCatName val="0"/>
          <c:showSerName val="0"/>
          <c:showPercent val="0"/>
          <c:showBubbleSize val="0"/>
        </c:dLbls>
        <c:axId val="610074207"/>
        <c:axId val="610074623"/>
      </c:scatterChart>
      <c:valAx>
        <c:axId val="610074207"/>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074623"/>
        <c:crosses val="autoZero"/>
        <c:crossBetween val="midCat"/>
      </c:valAx>
      <c:valAx>
        <c:axId val="610074623"/>
        <c:scaling>
          <c:orientation val="minMax"/>
        </c:scaling>
        <c:delete val="0"/>
        <c:axPos val="l"/>
        <c:majorGridlines>
          <c:spPr>
            <a:ln w="6350" cap="flat" cmpd="sng" algn="ctr">
              <a:solidFill>
                <a:srgbClr val="29FF3D">
                  <a:alpha val="35000"/>
                </a:srgb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074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 4!PivotTable6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vert="horz" wrap="square" lIns="38100" tIns="19050" rIns="38100" bIns="19050" anchor="ctr" anchorCtr="1">
              <a:no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10"/>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24"/>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33"/>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42"/>
        <c:spPr>
          <a:solidFill>
            <a:srgbClr val="BEFEC6"/>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BEFEC6"/>
          </a:solidFill>
          <a:ln>
            <a:noFill/>
          </a:ln>
          <a:effectLst/>
        </c:spPr>
        <c:dLbl>
          <c:idx val="0"/>
          <c:layout>
            <c:manualLayout>
              <c:x val="0"/>
              <c:y val="0.32870370370370372"/>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29FF3D"/>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29FF3D"/>
          </a:solidFill>
          <a:ln>
            <a:noFill/>
          </a:ln>
          <a:effectLst/>
        </c:spPr>
        <c:dLbl>
          <c:idx val="0"/>
          <c:layout>
            <c:manualLayout>
              <c:x val="0"/>
              <c:y val="0.32407407407407401"/>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29FF3D"/>
          </a:solidFill>
          <a:ln>
            <a:noFill/>
          </a:ln>
          <a:effectLst/>
        </c:spPr>
        <c:dLbl>
          <c:idx val="0"/>
          <c:layout>
            <c:manualLayout>
              <c:x val="-4.8661238347840187E-17"/>
              <c:y val="0.32870370370370372"/>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B050"/>
          </a:solidFill>
          <a:ln>
            <a:noFill/>
          </a:ln>
          <a:effectLst/>
        </c:spPr>
        <c:marker>
          <c:symbol val="none"/>
        </c:marker>
        <c:dLbl>
          <c:idx val="0"/>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0B050"/>
          </a:solidFill>
          <a:ln>
            <a:noFill/>
          </a:ln>
          <a:effectLst/>
        </c:spPr>
        <c:dLbl>
          <c:idx val="0"/>
          <c:layout>
            <c:manualLayout>
              <c:x val="-4.8661238347840187E-17"/>
              <c:y val="0.33796296296296302"/>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00B050"/>
          </a:solidFill>
          <a:ln>
            <a:noFill/>
          </a:ln>
          <a:effectLst/>
        </c:spPr>
        <c:dLbl>
          <c:idx val="0"/>
          <c:layout>
            <c:manualLayout>
              <c:x val="0"/>
              <c:y val="0.31018518518518517"/>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00B050"/>
          </a:solidFill>
          <a:ln>
            <a:noFill/>
          </a:ln>
          <a:effectLst/>
        </c:spPr>
        <c:dLbl>
          <c:idx val="0"/>
          <c:layout>
            <c:manualLayout>
              <c:x val="4.3161596738827083E-4"/>
              <c:y val="0.40164818897637788"/>
            </c:manualLayout>
          </c:layout>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2541240277117"/>
                  <c:h val="4.8115905511811025E-2"/>
                </c:manualLayout>
              </c15:layout>
            </c:ext>
          </c:extLst>
        </c:dLbl>
      </c:pivotFmt>
    </c:pivotFmts>
    <c:plotArea>
      <c:layout/>
      <c:barChart>
        <c:barDir val="col"/>
        <c:grouping val="clustered"/>
        <c:varyColors val="0"/>
        <c:ser>
          <c:idx val="0"/>
          <c:order val="0"/>
          <c:tx>
            <c:strRef>
              <c:f>'Task 4'!$O$4:$O$5</c:f>
              <c:strCache>
                <c:ptCount val="1"/>
                <c:pt idx="0">
                  <c:v>Reel</c:v>
                </c:pt>
              </c:strCache>
            </c:strRef>
          </c:tx>
          <c:spPr>
            <a:solidFill>
              <a:srgbClr val="BEFEC6"/>
            </a:solidFill>
            <a:ln>
              <a:noFill/>
            </a:ln>
            <a:effectLst/>
          </c:spPr>
          <c:invertIfNegative val="0"/>
          <c:dPt>
            <c:idx val="2"/>
            <c:invertIfNegative val="0"/>
            <c:bubble3D val="0"/>
            <c:spPr>
              <a:solidFill>
                <a:srgbClr val="BEFEC6"/>
              </a:solidFill>
              <a:ln>
                <a:noFill/>
              </a:ln>
              <a:effectLst/>
            </c:spPr>
            <c:extLst>
              <c:ext xmlns:c16="http://schemas.microsoft.com/office/drawing/2014/chart" uri="{C3380CC4-5D6E-409C-BE32-E72D297353CC}">
                <c16:uniqueId val="{00000001-DE52-44B6-AF94-674FD8F88DDE}"/>
              </c:ext>
            </c:extLst>
          </c:dPt>
          <c:dLbls>
            <c:dLbl>
              <c:idx val="2"/>
              <c:layout>
                <c:manualLayout>
                  <c:x val="0"/>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52-44B6-AF94-674FD8F88DDE}"/>
                </c:ext>
              </c:extLst>
            </c:dLbl>
            <c:spPr>
              <a:noFill/>
              <a:ln>
                <a:noFill/>
              </a:ln>
              <a:effectLst/>
            </c:spPr>
            <c:txPr>
              <a:bodyPr rot="-5400000" spcFirstLastPara="1" vertOverflow="ellipsis" wrap="square" anchor="ctr" anchorCtr="1"/>
              <a:lstStyle/>
              <a:p>
                <a:pPr>
                  <a:defRPr sz="900" b="1" i="0" u="none" strike="noStrike" kern="1200" baseline="0">
                    <a:ln w="0">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4'!$O$6:$O$9</c:f>
              <c:numCache>
                <c:formatCode>General</c:formatCode>
                <c:ptCount val="3"/>
                <c:pt idx="2">
                  <c:v>42546.65517241379</c:v>
                </c:pt>
              </c:numCache>
            </c:numRef>
          </c:val>
          <c:extLst>
            <c:ext xmlns:c16="http://schemas.microsoft.com/office/drawing/2014/chart" uri="{C3380CC4-5D6E-409C-BE32-E72D297353CC}">
              <c16:uniqueId val="{00000002-DE52-44B6-AF94-674FD8F88DDE}"/>
            </c:ext>
          </c:extLst>
        </c:ser>
        <c:ser>
          <c:idx val="1"/>
          <c:order val="1"/>
          <c:tx>
            <c:strRef>
              <c:f>'Task 4'!$P$4:$P$5</c:f>
              <c:strCache>
                <c:ptCount val="1"/>
                <c:pt idx="0">
                  <c:v>Story</c:v>
                </c:pt>
              </c:strCache>
            </c:strRef>
          </c:tx>
          <c:spPr>
            <a:solidFill>
              <a:srgbClr val="29FF3D"/>
            </a:solidFill>
            <a:ln>
              <a:noFill/>
            </a:ln>
            <a:effectLst/>
          </c:spPr>
          <c:invertIfNegative val="0"/>
          <c:dPt>
            <c:idx val="0"/>
            <c:invertIfNegative val="0"/>
            <c:bubble3D val="0"/>
            <c:spPr>
              <a:solidFill>
                <a:srgbClr val="29FF3D"/>
              </a:solidFill>
              <a:ln>
                <a:noFill/>
              </a:ln>
              <a:effectLst/>
            </c:spPr>
            <c:extLst>
              <c:ext xmlns:c16="http://schemas.microsoft.com/office/drawing/2014/chart" uri="{C3380CC4-5D6E-409C-BE32-E72D297353CC}">
                <c16:uniqueId val="{00000004-DE52-44B6-AF94-674FD8F88DDE}"/>
              </c:ext>
            </c:extLst>
          </c:dPt>
          <c:dPt>
            <c:idx val="1"/>
            <c:invertIfNegative val="0"/>
            <c:bubble3D val="0"/>
            <c:spPr>
              <a:solidFill>
                <a:srgbClr val="29FF3D"/>
              </a:solidFill>
              <a:ln>
                <a:noFill/>
              </a:ln>
              <a:effectLst/>
            </c:spPr>
            <c:extLst>
              <c:ext xmlns:c16="http://schemas.microsoft.com/office/drawing/2014/chart" uri="{C3380CC4-5D6E-409C-BE32-E72D297353CC}">
                <c16:uniqueId val="{00000006-DE52-44B6-AF94-674FD8F88DDE}"/>
              </c:ext>
            </c:extLst>
          </c:dPt>
          <c:dLbls>
            <c:dLbl>
              <c:idx val="0"/>
              <c:layout>
                <c:manualLayout>
                  <c:x val="0"/>
                  <c:y val="0.32407407407407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52-44B6-AF94-674FD8F88DDE}"/>
                </c:ext>
              </c:extLst>
            </c:dLbl>
            <c:dLbl>
              <c:idx val="1"/>
              <c:layout>
                <c:manualLayout>
                  <c:x val="-4.8661238347840187E-17"/>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52-44B6-AF94-674FD8F88DDE}"/>
                </c:ext>
              </c:extLst>
            </c:dLbl>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4'!$P$6:$P$9</c:f>
              <c:numCache>
                <c:formatCode>General</c:formatCode>
                <c:ptCount val="3"/>
                <c:pt idx="0">
                  <c:v>37626.34782608696</c:v>
                </c:pt>
                <c:pt idx="1">
                  <c:v>42215.747126436785</c:v>
                </c:pt>
              </c:numCache>
            </c:numRef>
          </c:val>
          <c:extLst>
            <c:ext xmlns:c16="http://schemas.microsoft.com/office/drawing/2014/chart" uri="{C3380CC4-5D6E-409C-BE32-E72D297353CC}">
              <c16:uniqueId val="{00000007-DE52-44B6-AF94-674FD8F88DDE}"/>
            </c:ext>
          </c:extLst>
        </c:ser>
        <c:ser>
          <c:idx val="2"/>
          <c:order val="2"/>
          <c:tx>
            <c:strRef>
              <c:f>'Task 4'!$Q$4:$Q$5</c:f>
              <c:strCache>
                <c:ptCount val="1"/>
                <c:pt idx="0">
                  <c:v>Text</c:v>
                </c:pt>
              </c:strCache>
            </c:strRef>
          </c:tx>
          <c:spPr>
            <a:solidFill>
              <a:srgbClr val="00B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9-DE52-44B6-AF94-674FD8F88DDE}"/>
              </c:ext>
            </c:extLst>
          </c:dPt>
          <c:dPt>
            <c:idx val="1"/>
            <c:invertIfNegative val="0"/>
            <c:bubble3D val="0"/>
            <c:spPr>
              <a:solidFill>
                <a:srgbClr val="00B050"/>
              </a:solidFill>
              <a:ln>
                <a:noFill/>
              </a:ln>
              <a:effectLst/>
            </c:spPr>
            <c:extLst>
              <c:ext xmlns:c16="http://schemas.microsoft.com/office/drawing/2014/chart" uri="{C3380CC4-5D6E-409C-BE32-E72D297353CC}">
                <c16:uniqueId val="{0000000B-DE52-44B6-AF94-674FD8F88DDE}"/>
              </c:ext>
            </c:extLst>
          </c:dPt>
          <c:dPt>
            <c:idx val="2"/>
            <c:invertIfNegative val="0"/>
            <c:bubble3D val="0"/>
            <c:spPr>
              <a:solidFill>
                <a:srgbClr val="00B050"/>
              </a:solidFill>
              <a:ln>
                <a:noFill/>
              </a:ln>
              <a:effectLst/>
            </c:spPr>
            <c:extLst>
              <c:ext xmlns:c16="http://schemas.microsoft.com/office/drawing/2014/chart" uri="{C3380CC4-5D6E-409C-BE32-E72D297353CC}">
                <c16:uniqueId val="{0000000D-DE52-44B6-AF94-674FD8F88DDE}"/>
              </c:ext>
            </c:extLst>
          </c:dPt>
          <c:dLbls>
            <c:dLbl>
              <c:idx val="0"/>
              <c:layout>
                <c:manualLayout>
                  <c:x val="-4.8661238347840187E-17"/>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E52-44B6-AF94-674FD8F88DDE}"/>
                </c:ext>
              </c:extLst>
            </c:dLbl>
            <c:dLbl>
              <c:idx val="1"/>
              <c:layout>
                <c:manualLayout>
                  <c:x val="0"/>
                  <c:y val="0.31018518518518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E52-44B6-AF94-674FD8F88DDE}"/>
                </c:ext>
              </c:extLst>
            </c:dLbl>
            <c:dLbl>
              <c:idx val="2"/>
              <c:layout>
                <c:manualLayout>
                  <c:x val="4.3161596738827083E-4"/>
                  <c:y val="0.4016481889763778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52541240277117"/>
                      <c:h val="4.8115905511811025E-2"/>
                    </c:manualLayout>
                  </c15:layout>
                </c:ext>
                <c:ext xmlns:c16="http://schemas.microsoft.com/office/drawing/2014/chart" uri="{C3380CC4-5D6E-409C-BE32-E72D297353CC}">
                  <c16:uniqueId val="{0000000D-DE52-44B6-AF94-674FD8F88DDE}"/>
                </c:ext>
              </c:extLst>
            </c:dLbl>
            <c:spPr>
              <a:noFill/>
              <a:ln>
                <a:noFill/>
              </a:ln>
              <a:effectLst/>
            </c:spPr>
            <c:txPr>
              <a:bodyPr rot="-5400000" spcFirstLastPara="1" vertOverflow="ellipsis" wrap="square" anchor="ctr" anchorCtr="1"/>
              <a:lstStyle/>
              <a:p>
                <a:pPr>
                  <a:defRPr sz="900" b="1"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4'!$Q$6:$Q$9</c:f>
              <c:numCache>
                <c:formatCode>General</c:formatCode>
                <c:ptCount val="3"/>
                <c:pt idx="0">
                  <c:v>40728.530303030304</c:v>
                </c:pt>
                <c:pt idx="1">
                  <c:v>40429.163934426229</c:v>
                </c:pt>
                <c:pt idx="2">
                  <c:v>45415.911764705881</c:v>
                </c:pt>
              </c:numCache>
            </c:numRef>
          </c:val>
          <c:extLst>
            <c:ext xmlns:c16="http://schemas.microsoft.com/office/drawing/2014/chart" uri="{C3380CC4-5D6E-409C-BE32-E72D297353CC}">
              <c16:uniqueId val="{0000000E-DE52-44B6-AF94-674FD8F88DDE}"/>
            </c:ext>
          </c:extLst>
        </c:ser>
        <c:dLbls>
          <c:dLblPos val="outEnd"/>
          <c:showLegendKey val="0"/>
          <c:showVal val="1"/>
          <c:showCatName val="0"/>
          <c:showSerName val="0"/>
          <c:showPercent val="0"/>
          <c:showBubbleSize val="0"/>
        </c:dLbls>
        <c:gapWidth val="219"/>
        <c:overlap val="-27"/>
        <c:axId val="1987143008"/>
        <c:axId val="1987144256"/>
      </c:barChart>
      <c:catAx>
        <c:axId val="19871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w="0">
                  <a:noFill/>
                </a:ln>
                <a:solidFill>
                  <a:schemeClr val="tx1"/>
                </a:solidFill>
                <a:latin typeface="+mn-lt"/>
                <a:ea typeface="+mn-ea"/>
                <a:cs typeface="+mn-cs"/>
              </a:defRPr>
            </a:pPr>
            <a:endParaRPr lang="en-US"/>
          </a:p>
        </c:txPr>
        <c:crossAx val="1987144256"/>
        <c:crosses val="autoZero"/>
        <c:auto val="1"/>
        <c:lblAlgn val="ctr"/>
        <c:lblOffset val="100"/>
        <c:noMultiLvlLbl val="0"/>
      </c:catAx>
      <c:valAx>
        <c:axId val="1987144256"/>
        <c:scaling>
          <c:orientation val="minMax"/>
          <c:max val="46000"/>
          <c:min val="30000"/>
        </c:scaling>
        <c:delete val="0"/>
        <c:axPos val="l"/>
        <c:majorGridlines>
          <c:spPr>
            <a:ln w="6350" cap="flat" cmpd="sng" algn="ctr">
              <a:solidFill>
                <a:srgbClr val="29FF3D">
                  <a:alpha val="4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w="0">
                  <a:noFill/>
                </a:ln>
                <a:solidFill>
                  <a:schemeClr val="tx1"/>
                </a:solidFill>
                <a:latin typeface="+mn-lt"/>
                <a:ea typeface="+mn-ea"/>
                <a:cs typeface="+mn-cs"/>
              </a:defRPr>
            </a:pPr>
            <a:endParaRPr lang="en-US"/>
          </a:p>
        </c:txPr>
        <c:crossAx val="198714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ln w="0">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Moving Average of Follower Growth</a:t>
            </a:r>
            <a:endParaRPr lang="en-US" b="1">
              <a:solidFill>
                <a:schemeClr val="tx1"/>
              </a:solidFill>
            </a:endParaRPr>
          </a:p>
        </c:rich>
      </c:tx>
      <c:layout>
        <c:manualLayout>
          <c:xMode val="edge"/>
          <c:yMode val="edge"/>
          <c:x val="0.16512021372899918"/>
          <c:y val="3.11111002235869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12700" cap="rnd">
              <a:solidFill>
                <a:srgbClr val="00D661"/>
              </a:solidFill>
              <a:round/>
            </a:ln>
            <a:effectLst/>
          </c:spPr>
          <c:marker>
            <c:symbol val="none"/>
          </c:marker>
          <c:trendline>
            <c:spPr>
              <a:ln w="28575" cap="rnd" cmpd="sng">
                <a:solidFill>
                  <a:schemeClr val="tx1"/>
                </a:solidFill>
                <a:prstDash val="solid"/>
              </a:ln>
              <a:effectLst/>
            </c:spPr>
            <c:trendlineType val="movingAvg"/>
            <c:period val="6"/>
            <c:dispRSqr val="0"/>
            <c:dispEq val="0"/>
          </c:trendline>
          <c:cat>
            <c:numRef>
              <c:f>'Engagement Summary'!$A$2:$A$207</c:f>
              <c:numCache>
                <c:formatCode>yyyy\-mm\-dd;@</c:formatCode>
                <c:ptCount val="206"/>
                <c:pt idx="0">
                  <c:v>45446</c:v>
                </c:pt>
                <c:pt idx="1">
                  <c:v>45446</c:v>
                </c:pt>
                <c:pt idx="2">
                  <c:v>45446</c:v>
                </c:pt>
                <c:pt idx="3">
                  <c:v>45453</c:v>
                </c:pt>
                <c:pt idx="4">
                  <c:v>45453</c:v>
                </c:pt>
                <c:pt idx="5">
                  <c:v>45453</c:v>
                </c:pt>
                <c:pt idx="6">
                  <c:v>45460</c:v>
                </c:pt>
                <c:pt idx="7">
                  <c:v>45460</c:v>
                </c:pt>
                <c:pt idx="8">
                  <c:v>45460</c:v>
                </c:pt>
                <c:pt idx="9">
                  <c:v>45467</c:v>
                </c:pt>
                <c:pt idx="10">
                  <c:v>45467</c:v>
                </c:pt>
                <c:pt idx="11">
                  <c:v>45467</c:v>
                </c:pt>
                <c:pt idx="12">
                  <c:v>45474</c:v>
                </c:pt>
                <c:pt idx="13">
                  <c:v>45474</c:v>
                </c:pt>
                <c:pt idx="14">
                  <c:v>45474</c:v>
                </c:pt>
                <c:pt idx="15">
                  <c:v>45481</c:v>
                </c:pt>
                <c:pt idx="16">
                  <c:v>45481</c:v>
                </c:pt>
                <c:pt idx="17">
                  <c:v>45481</c:v>
                </c:pt>
                <c:pt idx="18">
                  <c:v>45488</c:v>
                </c:pt>
                <c:pt idx="19">
                  <c:v>45488</c:v>
                </c:pt>
                <c:pt idx="20">
                  <c:v>45488</c:v>
                </c:pt>
                <c:pt idx="21">
                  <c:v>45495</c:v>
                </c:pt>
                <c:pt idx="22">
                  <c:v>45495</c:v>
                </c:pt>
                <c:pt idx="23">
                  <c:v>45495</c:v>
                </c:pt>
                <c:pt idx="24">
                  <c:v>45502</c:v>
                </c:pt>
                <c:pt idx="25">
                  <c:v>45502</c:v>
                </c:pt>
                <c:pt idx="26">
                  <c:v>45502</c:v>
                </c:pt>
                <c:pt idx="27">
                  <c:v>45509</c:v>
                </c:pt>
                <c:pt idx="28">
                  <c:v>45509</c:v>
                </c:pt>
                <c:pt idx="29">
                  <c:v>45509</c:v>
                </c:pt>
                <c:pt idx="30">
                  <c:v>45516</c:v>
                </c:pt>
                <c:pt idx="31">
                  <c:v>45516</c:v>
                </c:pt>
                <c:pt idx="32">
                  <c:v>45516</c:v>
                </c:pt>
                <c:pt idx="33">
                  <c:v>45523</c:v>
                </c:pt>
                <c:pt idx="34">
                  <c:v>45523</c:v>
                </c:pt>
                <c:pt idx="35">
                  <c:v>45523</c:v>
                </c:pt>
                <c:pt idx="36">
                  <c:v>45530</c:v>
                </c:pt>
                <c:pt idx="37">
                  <c:v>45530</c:v>
                </c:pt>
                <c:pt idx="38">
                  <c:v>45530</c:v>
                </c:pt>
                <c:pt idx="39">
                  <c:v>45537</c:v>
                </c:pt>
                <c:pt idx="40">
                  <c:v>45537</c:v>
                </c:pt>
                <c:pt idx="41">
                  <c:v>45537</c:v>
                </c:pt>
                <c:pt idx="42">
                  <c:v>45544</c:v>
                </c:pt>
                <c:pt idx="43">
                  <c:v>45544</c:v>
                </c:pt>
                <c:pt idx="44">
                  <c:v>45544</c:v>
                </c:pt>
                <c:pt idx="45">
                  <c:v>45551</c:v>
                </c:pt>
                <c:pt idx="46">
                  <c:v>45551</c:v>
                </c:pt>
                <c:pt idx="47">
                  <c:v>45551</c:v>
                </c:pt>
                <c:pt idx="48">
                  <c:v>45558</c:v>
                </c:pt>
                <c:pt idx="49">
                  <c:v>45558</c:v>
                </c:pt>
                <c:pt idx="50">
                  <c:v>45558</c:v>
                </c:pt>
                <c:pt idx="51">
                  <c:v>45565</c:v>
                </c:pt>
                <c:pt idx="52">
                  <c:v>45565</c:v>
                </c:pt>
                <c:pt idx="53">
                  <c:v>45565</c:v>
                </c:pt>
                <c:pt idx="54">
                  <c:v>45572</c:v>
                </c:pt>
                <c:pt idx="55">
                  <c:v>45572</c:v>
                </c:pt>
                <c:pt idx="56">
                  <c:v>45572</c:v>
                </c:pt>
                <c:pt idx="57">
                  <c:v>45579</c:v>
                </c:pt>
                <c:pt idx="58">
                  <c:v>45579</c:v>
                </c:pt>
                <c:pt idx="59">
                  <c:v>45579</c:v>
                </c:pt>
                <c:pt idx="60">
                  <c:v>45586</c:v>
                </c:pt>
                <c:pt idx="61">
                  <c:v>45586</c:v>
                </c:pt>
                <c:pt idx="62">
                  <c:v>45586</c:v>
                </c:pt>
                <c:pt idx="63">
                  <c:v>45593</c:v>
                </c:pt>
                <c:pt idx="64">
                  <c:v>45593</c:v>
                </c:pt>
                <c:pt idx="65">
                  <c:v>45593</c:v>
                </c:pt>
                <c:pt idx="66">
                  <c:v>45600</c:v>
                </c:pt>
                <c:pt idx="67">
                  <c:v>45600</c:v>
                </c:pt>
                <c:pt idx="68">
                  <c:v>45600</c:v>
                </c:pt>
                <c:pt idx="69">
                  <c:v>45607</c:v>
                </c:pt>
                <c:pt idx="70">
                  <c:v>45607</c:v>
                </c:pt>
                <c:pt idx="71">
                  <c:v>45607</c:v>
                </c:pt>
                <c:pt idx="72">
                  <c:v>45614</c:v>
                </c:pt>
                <c:pt idx="73">
                  <c:v>45614</c:v>
                </c:pt>
                <c:pt idx="74">
                  <c:v>45614</c:v>
                </c:pt>
                <c:pt idx="75">
                  <c:v>45621</c:v>
                </c:pt>
                <c:pt idx="76">
                  <c:v>45621</c:v>
                </c:pt>
                <c:pt idx="77">
                  <c:v>45621</c:v>
                </c:pt>
                <c:pt idx="78">
                  <c:v>45628</c:v>
                </c:pt>
                <c:pt idx="79">
                  <c:v>45628</c:v>
                </c:pt>
                <c:pt idx="80">
                  <c:v>45628</c:v>
                </c:pt>
                <c:pt idx="81">
                  <c:v>45635</c:v>
                </c:pt>
                <c:pt idx="82">
                  <c:v>45635</c:v>
                </c:pt>
                <c:pt idx="83">
                  <c:v>45635</c:v>
                </c:pt>
                <c:pt idx="84">
                  <c:v>45642</c:v>
                </c:pt>
                <c:pt idx="85">
                  <c:v>45642</c:v>
                </c:pt>
                <c:pt idx="86">
                  <c:v>45642</c:v>
                </c:pt>
                <c:pt idx="87">
                  <c:v>45649</c:v>
                </c:pt>
                <c:pt idx="88">
                  <c:v>45649</c:v>
                </c:pt>
                <c:pt idx="89">
                  <c:v>45649</c:v>
                </c:pt>
                <c:pt idx="90">
                  <c:v>45656</c:v>
                </c:pt>
                <c:pt idx="91">
                  <c:v>45656</c:v>
                </c:pt>
                <c:pt idx="92">
                  <c:v>45656</c:v>
                </c:pt>
                <c:pt idx="93">
                  <c:v>45663</c:v>
                </c:pt>
                <c:pt idx="94">
                  <c:v>45663</c:v>
                </c:pt>
                <c:pt idx="95">
                  <c:v>45663</c:v>
                </c:pt>
                <c:pt idx="96">
                  <c:v>45670</c:v>
                </c:pt>
                <c:pt idx="97">
                  <c:v>45670</c:v>
                </c:pt>
                <c:pt idx="98">
                  <c:v>45670</c:v>
                </c:pt>
                <c:pt idx="99">
                  <c:v>45677</c:v>
                </c:pt>
                <c:pt idx="100">
                  <c:v>45677</c:v>
                </c:pt>
                <c:pt idx="101">
                  <c:v>45677</c:v>
                </c:pt>
                <c:pt idx="102">
                  <c:v>45684</c:v>
                </c:pt>
                <c:pt idx="103">
                  <c:v>45684</c:v>
                </c:pt>
                <c:pt idx="104">
                  <c:v>45684</c:v>
                </c:pt>
                <c:pt idx="105">
                  <c:v>45691</c:v>
                </c:pt>
                <c:pt idx="106">
                  <c:v>45691</c:v>
                </c:pt>
                <c:pt idx="107">
                  <c:v>45691</c:v>
                </c:pt>
                <c:pt idx="108">
                  <c:v>45698</c:v>
                </c:pt>
                <c:pt idx="109">
                  <c:v>45698</c:v>
                </c:pt>
                <c:pt idx="110">
                  <c:v>45698</c:v>
                </c:pt>
                <c:pt idx="111">
                  <c:v>45705</c:v>
                </c:pt>
                <c:pt idx="112">
                  <c:v>45705</c:v>
                </c:pt>
                <c:pt idx="113">
                  <c:v>45705</c:v>
                </c:pt>
                <c:pt idx="114">
                  <c:v>45712</c:v>
                </c:pt>
                <c:pt idx="115">
                  <c:v>45712</c:v>
                </c:pt>
                <c:pt idx="116">
                  <c:v>45712</c:v>
                </c:pt>
                <c:pt idx="117">
                  <c:v>45719</c:v>
                </c:pt>
                <c:pt idx="118">
                  <c:v>45719</c:v>
                </c:pt>
                <c:pt idx="119">
                  <c:v>45719</c:v>
                </c:pt>
                <c:pt idx="120">
                  <c:v>45726</c:v>
                </c:pt>
                <c:pt idx="121">
                  <c:v>45726</c:v>
                </c:pt>
                <c:pt idx="122">
                  <c:v>45726</c:v>
                </c:pt>
                <c:pt idx="123">
                  <c:v>45733</c:v>
                </c:pt>
                <c:pt idx="124">
                  <c:v>45733</c:v>
                </c:pt>
                <c:pt idx="125">
                  <c:v>45733</c:v>
                </c:pt>
                <c:pt idx="126">
                  <c:v>45740</c:v>
                </c:pt>
                <c:pt idx="127">
                  <c:v>45740</c:v>
                </c:pt>
                <c:pt idx="128">
                  <c:v>45740</c:v>
                </c:pt>
                <c:pt idx="129">
                  <c:v>45747</c:v>
                </c:pt>
                <c:pt idx="130">
                  <c:v>45747</c:v>
                </c:pt>
                <c:pt idx="131">
                  <c:v>45747</c:v>
                </c:pt>
                <c:pt idx="132">
                  <c:v>45754</c:v>
                </c:pt>
                <c:pt idx="133">
                  <c:v>45754</c:v>
                </c:pt>
                <c:pt idx="134">
                  <c:v>45754</c:v>
                </c:pt>
                <c:pt idx="135">
                  <c:v>45761</c:v>
                </c:pt>
                <c:pt idx="136">
                  <c:v>45761</c:v>
                </c:pt>
                <c:pt idx="137">
                  <c:v>45761</c:v>
                </c:pt>
                <c:pt idx="138">
                  <c:v>45768</c:v>
                </c:pt>
                <c:pt idx="139">
                  <c:v>45768</c:v>
                </c:pt>
                <c:pt idx="140">
                  <c:v>45768</c:v>
                </c:pt>
                <c:pt idx="141">
                  <c:v>45775</c:v>
                </c:pt>
                <c:pt idx="142">
                  <c:v>45775</c:v>
                </c:pt>
                <c:pt idx="143">
                  <c:v>45775</c:v>
                </c:pt>
                <c:pt idx="145">
                  <c:v>45782</c:v>
                </c:pt>
                <c:pt idx="146">
                  <c:v>45782</c:v>
                </c:pt>
                <c:pt idx="147">
                  <c:v>45789</c:v>
                </c:pt>
                <c:pt idx="148">
                  <c:v>45789</c:v>
                </c:pt>
                <c:pt idx="149">
                  <c:v>45789</c:v>
                </c:pt>
                <c:pt idx="150">
                  <c:v>45796</c:v>
                </c:pt>
                <c:pt idx="151">
                  <c:v>45796</c:v>
                </c:pt>
                <c:pt idx="152">
                  <c:v>45796</c:v>
                </c:pt>
                <c:pt idx="153">
                  <c:v>45803</c:v>
                </c:pt>
                <c:pt idx="154">
                  <c:v>45803</c:v>
                </c:pt>
                <c:pt idx="155">
                  <c:v>45803</c:v>
                </c:pt>
                <c:pt idx="156">
                  <c:v>45810</c:v>
                </c:pt>
                <c:pt idx="157">
                  <c:v>45810</c:v>
                </c:pt>
                <c:pt idx="158">
                  <c:v>45810</c:v>
                </c:pt>
                <c:pt idx="159">
                  <c:v>45817</c:v>
                </c:pt>
                <c:pt idx="160">
                  <c:v>45817</c:v>
                </c:pt>
                <c:pt idx="161">
                  <c:v>45817</c:v>
                </c:pt>
                <c:pt idx="162">
                  <c:v>45824</c:v>
                </c:pt>
                <c:pt idx="163">
                  <c:v>45824</c:v>
                </c:pt>
                <c:pt idx="164">
                  <c:v>45824</c:v>
                </c:pt>
                <c:pt idx="165">
                  <c:v>45831</c:v>
                </c:pt>
                <c:pt idx="166">
                  <c:v>45831</c:v>
                </c:pt>
                <c:pt idx="167">
                  <c:v>45831</c:v>
                </c:pt>
                <c:pt idx="168">
                  <c:v>45838</c:v>
                </c:pt>
                <c:pt idx="169">
                  <c:v>45838</c:v>
                </c:pt>
                <c:pt idx="170">
                  <c:v>45838</c:v>
                </c:pt>
                <c:pt idx="171">
                  <c:v>45845</c:v>
                </c:pt>
                <c:pt idx="172">
                  <c:v>45845</c:v>
                </c:pt>
                <c:pt idx="173">
                  <c:v>45845</c:v>
                </c:pt>
                <c:pt idx="174">
                  <c:v>45852</c:v>
                </c:pt>
                <c:pt idx="175">
                  <c:v>45852</c:v>
                </c:pt>
                <c:pt idx="176">
                  <c:v>45852</c:v>
                </c:pt>
                <c:pt idx="177">
                  <c:v>45859</c:v>
                </c:pt>
                <c:pt idx="178">
                  <c:v>45859</c:v>
                </c:pt>
                <c:pt idx="179">
                  <c:v>45859</c:v>
                </c:pt>
                <c:pt idx="180">
                  <c:v>45866</c:v>
                </c:pt>
                <c:pt idx="181">
                  <c:v>45866</c:v>
                </c:pt>
                <c:pt idx="182">
                  <c:v>45866</c:v>
                </c:pt>
                <c:pt idx="183">
                  <c:v>45873</c:v>
                </c:pt>
                <c:pt idx="184">
                  <c:v>45873</c:v>
                </c:pt>
                <c:pt idx="185">
                  <c:v>45873</c:v>
                </c:pt>
                <c:pt idx="186">
                  <c:v>45880</c:v>
                </c:pt>
                <c:pt idx="187">
                  <c:v>45880</c:v>
                </c:pt>
                <c:pt idx="188">
                  <c:v>45880</c:v>
                </c:pt>
                <c:pt idx="189">
                  <c:v>45887</c:v>
                </c:pt>
                <c:pt idx="190">
                  <c:v>45887</c:v>
                </c:pt>
                <c:pt idx="191">
                  <c:v>45887</c:v>
                </c:pt>
                <c:pt idx="192">
                  <c:v>45894</c:v>
                </c:pt>
                <c:pt idx="193">
                  <c:v>45894</c:v>
                </c:pt>
                <c:pt idx="194">
                  <c:v>45894</c:v>
                </c:pt>
                <c:pt idx="195">
                  <c:v>45901</c:v>
                </c:pt>
                <c:pt idx="196">
                  <c:v>45901</c:v>
                </c:pt>
                <c:pt idx="197">
                  <c:v>45901</c:v>
                </c:pt>
                <c:pt idx="198">
                  <c:v>45908</c:v>
                </c:pt>
                <c:pt idx="199">
                  <c:v>45908</c:v>
                </c:pt>
              </c:numCache>
            </c:numRef>
          </c:cat>
          <c:val>
            <c:numRef>
              <c:f>'Engagement Summary'!$E$2:$E$207</c:f>
              <c:numCache>
                <c:formatCode>0.00</c:formatCode>
                <c:ptCount val="206"/>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val>
          <c:smooth val="0"/>
          <c:extLst>
            <c:ext xmlns:c16="http://schemas.microsoft.com/office/drawing/2014/chart" uri="{C3380CC4-5D6E-409C-BE32-E72D297353CC}">
              <c16:uniqueId val="{00000001-F9C2-43DF-80E6-27B3AAFE6739}"/>
            </c:ext>
          </c:extLst>
        </c:ser>
        <c:dLbls>
          <c:showLegendKey val="0"/>
          <c:showVal val="0"/>
          <c:showCatName val="0"/>
          <c:showSerName val="0"/>
          <c:showPercent val="0"/>
          <c:showBubbleSize val="0"/>
        </c:dLbls>
        <c:smooth val="0"/>
        <c:axId val="1124713264"/>
        <c:axId val="1511990640"/>
      </c:lineChart>
      <c:dateAx>
        <c:axId val="112471326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90640"/>
        <c:crosses val="autoZero"/>
        <c:auto val="1"/>
        <c:lblOffset val="100"/>
        <c:baseTimeUnit val="days"/>
      </c:dateAx>
      <c:valAx>
        <c:axId val="1511990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4713264"/>
        <c:crosses val="autoZero"/>
        <c:crossBetween val="between"/>
      </c:valAx>
      <c:spPr>
        <a:noFill/>
        <a:ln>
          <a:noFill/>
        </a:ln>
        <a:effectLst/>
      </c:spPr>
    </c:plotArea>
    <c:legend>
      <c:legendPos val="r"/>
      <c:layout>
        <c:manualLayout>
          <c:xMode val="edge"/>
          <c:yMode val="edge"/>
          <c:x val="0.54882986350952367"/>
          <c:y val="2.9644084114056307E-2"/>
          <c:w val="0.21767635330195001"/>
          <c:h val="0.203334312043985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clg.xlsx]TASK3!PivotTable14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TASK3!$E$21</c:f>
              <c:strCache>
                <c:ptCount val="1"/>
                <c:pt idx="0">
                  <c:v>Sum of Ad_Spend</c:v>
                </c:pt>
              </c:strCache>
            </c:strRef>
          </c:tx>
          <c:spPr>
            <a:solidFill>
              <a:schemeClr val="accent1"/>
            </a:solidFill>
            <a:ln>
              <a:noFill/>
            </a:ln>
            <a:effectLst/>
          </c:spPr>
          <c:invertIfNegative val="0"/>
          <c:cat>
            <c:strRef>
              <c:f>TASK3!$D$22:$D$25</c:f>
              <c:strCache>
                <c:ptCount val="3"/>
                <c:pt idx="0">
                  <c:v>Instagram</c:v>
                </c:pt>
                <c:pt idx="1">
                  <c:v>Twitter</c:v>
                </c:pt>
                <c:pt idx="2">
                  <c:v>YouTube</c:v>
                </c:pt>
              </c:strCache>
            </c:strRef>
          </c:cat>
          <c:val>
            <c:numRef>
              <c:f>TASK3!$E$22:$E$25</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0-E9E2-46D3-840F-10C5E5578818}"/>
            </c:ext>
          </c:extLst>
        </c:ser>
        <c:dLbls>
          <c:showLegendKey val="0"/>
          <c:showVal val="0"/>
          <c:showCatName val="0"/>
          <c:showSerName val="0"/>
          <c:showPercent val="0"/>
          <c:showBubbleSize val="0"/>
        </c:dLbls>
        <c:gapWidth val="219"/>
        <c:overlap val="-27"/>
        <c:axId val="508126847"/>
        <c:axId val="508127679"/>
      </c:barChart>
      <c:lineChart>
        <c:grouping val="standard"/>
        <c:varyColors val="0"/>
        <c:ser>
          <c:idx val="1"/>
          <c:order val="1"/>
          <c:tx>
            <c:strRef>
              <c:f>TASK3!$F$21</c:f>
              <c:strCache>
                <c:ptCount val="1"/>
                <c:pt idx="0">
                  <c:v>Sum of Engagement_Rate</c:v>
                </c:pt>
              </c:strCache>
            </c:strRef>
          </c:tx>
          <c:spPr>
            <a:ln w="28575" cap="rnd">
              <a:solidFill>
                <a:schemeClr val="accent2"/>
              </a:solidFill>
              <a:round/>
            </a:ln>
            <a:effectLst/>
          </c:spPr>
          <c:marker>
            <c:symbol val="none"/>
          </c:marker>
          <c:cat>
            <c:strRef>
              <c:f>TASK3!$D$22:$D$25</c:f>
              <c:strCache>
                <c:ptCount val="3"/>
                <c:pt idx="0">
                  <c:v>Instagram</c:v>
                </c:pt>
                <c:pt idx="1">
                  <c:v>Twitter</c:v>
                </c:pt>
                <c:pt idx="2">
                  <c:v>YouTube</c:v>
                </c:pt>
              </c:strCache>
            </c:strRef>
          </c:cat>
          <c:val>
            <c:numRef>
              <c:f>TASK3!$F$22:$F$25</c:f>
              <c:numCache>
                <c:formatCode>General</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1-E9E2-46D3-840F-10C5E5578818}"/>
            </c:ext>
          </c:extLst>
        </c:ser>
        <c:dLbls>
          <c:showLegendKey val="0"/>
          <c:showVal val="0"/>
          <c:showCatName val="0"/>
          <c:showSerName val="0"/>
          <c:showPercent val="0"/>
          <c:showBubbleSize val="0"/>
        </c:dLbls>
        <c:marker val="1"/>
        <c:smooth val="0"/>
        <c:axId val="508126431"/>
        <c:axId val="508128095"/>
      </c:lineChart>
      <c:catAx>
        <c:axId val="50812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7679"/>
        <c:crosses val="autoZero"/>
        <c:auto val="1"/>
        <c:lblAlgn val="ctr"/>
        <c:lblOffset val="100"/>
        <c:noMultiLvlLbl val="0"/>
      </c:catAx>
      <c:valAx>
        <c:axId val="50812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6847"/>
        <c:crosses val="autoZero"/>
        <c:crossBetween val="between"/>
      </c:valAx>
      <c:valAx>
        <c:axId val="5081280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26431"/>
        <c:crosses val="max"/>
        <c:crossBetween val="between"/>
      </c:valAx>
      <c:catAx>
        <c:axId val="508126431"/>
        <c:scaling>
          <c:orientation val="minMax"/>
        </c:scaling>
        <c:delete val="1"/>
        <c:axPos val="b"/>
        <c:numFmt formatCode="General" sourceLinked="1"/>
        <c:majorTickMark val="out"/>
        <c:minorTickMark val="none"/>
        <c:tickLblPos val="nextTo"/>
        <c:crossAx val="508128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6'!$D$1</c:f>
              <c:strCache>
                <c:ptCount val="1"/>
                <c:pt idx="0">
                  <c:v>net followers grth</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'Task 6'!$C$2:$C$201</c:f>
              <c:numCache>
                <c:formatCode>[$₹-4009]\ #,##0.00</c:formatCode>
                <c:ptCount val="200"/>
                <c:pt idx="0">
                  <c:v>23125</c:v>
                </c:pt>
                <c:pt idx="1">
                  <c:v>22788</c:v>
                </c:pt>
                <c:pt idx="2">
                  <c:v>7810</c:v>
                </c:pt>
                <c:pt idx="3">
                  <c:v>11966</c:v>
                </c:pt>
                <c:pt idx="4">
                  <c:v>26298</c:v>
                </c:pt>
                <c:pt idx="5">
                  <c:v>22029</c:v>
                </c:pt>
                <c:pt idx="6">
                  <c:v>12391</c:v>
                </c:pt>
                <c:pt idx="7">
                  <c:v>14477</c:v>
                </c:pt>
                <c:pt idx="8">
                  <c:v>25040</c:v>
                </c:pt>
                <c:pt idx="9">
                  <c:v>22619</c:v>
                </c:pt>
                <c:pt idx="10">
                  <c:v>12399</c:v>
                </c:pt>
                <c:pt idx="11">
                  <c:v>22456</c:v>
                </c:pt>
                <c:pt idx="12">
                  <c:v>19328</c:v>
                </c:pt>
                <c:pt idx="13">
                  <c:v>21107</c:v>
                </c:pt>
                <c:pt idx="14">
                  <c:v>12277</c:v>
                </c:pt>
                <c:pt idx="15">
                  <c:v>11684</c:v>
                </c:pt>
                <c:pt idx="16">
                  <c:v>14412</c:v>
                </c:pt>
                <c:pt idx="17">
                  <c:v>15924</c:v>
                </c:pt>
                <c:pt idx="18">
                  <c:v>12390</c:v>
                </c:pt>
                <c:pt idx="19">
                  <c:v>25742</c:v>
                </c:pt>
                <c:pt idx="20">
                  <c:v>10495</c:v>
                </c:pt>
                <c:pt idx="21">
                  <c:v>7797</c:v>
                </c:pt>
                <c:pt idx="22">
                  <c:v>15595</c:v>
                </c:pt>
                <c:pt idx="23">
                  <c:v>24617</c:v>
                </c:pt>
                <c:pt idx="24">
                  <c:v>9847</c:v>
                </c:pt>
                <c:pt idx="25">
                  <c:v>13644</c:v>
                </c:pt>
                <c:pt idx="26">
                  <c:v>11421</c:v>
                </c:pt>
                <c:pt idx="27">
                  <c:v>15613</c:v>
                </c:pt>
                <c:pt idx="28">
                  <c:v>23900</c:v>
                </c:pt>
                <c:pt idx="29">
                  <c:v>5836</c:v>
                </c:pt>
                <c:pt idx="30">
                  <c:v>5624</c:v>
                </c:pt>
                <c:pt idx="31">
                  <c:v>10311</c:v>
                </c:pt>
                <c:pt idx="32">
                  <c:v>8274</c:v>
                </c:pt>
                <c:pt idx="33">
                  <c:v>6031</c:v>
                </c:pt>
                <c:pt idx="34">
                  <c:v>27829</c:v>
                </c:pt>
                <c:pt idx="35">
                  <c:v>18267</c:v>
                </c:pt>
                <c:pt idx="36">
                  <c:v>26624</c:v>
                </c:pt>
                <c:pt idx="37">
                  <c:v>26644</c:v>
                </c:pt>
                <c:pt idx="38">
                  <c:v>13051</c:v>
                </c:pt>
                <c:pt idx="39">
                  <c:v>14217</c:v>
                </c:pt>
                <c:pt idx="40">
                  <c:v>16385</c:v>
                </c:pt>
                <c:pt idx="41">
                  <c:v>24548</c:v>
                </c:pt>
                <c:pt idx="42">
                  <c:v>9195</c:v>
                </c:pt>
                <c:pt idx="43">
                  <c:v>18071</c:v>
                </c:pt>
                <c:pt idx="44">
                  <c:v>16875</c:v>
                </c:pt>
                <c:pt idx="45">
                  <c:v>9567</c:v>
                </c:pt>
                <c:pt idx="46">
                  <c:v>20306</c:v>
                </c:pt>
                <c:pt idx="47">
                  <c:v>21134</c:v>
                </c:pt>
                <c:pt idx="48">
                  <c:v>26872</c:v>
                </c:pt>
                <c:pt idx="49">
                  <c:v>10253</c:v>
                </c:pt>
                <c:pt idx="50">
                  <c:v>23963</c:v>
                </c:pt>
                <c:pt idx="51">
                  <c:v>11335</c:v>
                </c:pt>
                <c:pt idx="52">
                  <c:v>12115</c:v>
                </c:pt>
                <c:pt idx="53">
                  <c:v>24358</c:v>
                </c:pt>
                <c:pt idx="54">
                  <c:v>12181</c:v>
                </c:pt>
                <c:pt idx="55">
                  <c:v>17729</c:v>
                </c:pt>
                <c:pt idx="56">
                  <c:v>10881</c:v>
                </c:pt>
                <c:pt idx="57">
                  <c:v>18576</c:v>
                </c:pt>
                <c:pt idx="58">
                  <c:v>9383</c:v>
                </c:pt>
                <c:pt idx="59">
                  <c:v>14178</c:v>
                </c:pt>
                <c:pt idx="60">
                  <c:v>21254</c:v>
                </c:pt>
                <c:pt idx="61">
                  <c:v>14215</c:v>
                </c:pt>
                <c:pt idx="62">
                  <c:v>16921</c:v>
                </c:pt>
                <c:pt idx="63">
                  <c:v>25130</c:v>
                </c:pt>
                <c:pt idx="64">
                  <c:v>25537</c:v>
                </c:pt>
                <c:pt idx="65">
                  <c:v>24943</c:v>
                </c:pt>
                <c:pt idx="66">
                  <c:v>14563</c:v>
                </c:pt>
                <c:pt idx="67">
                  <c:v>26273</c:v>
                </c:pt>
                <c:pt idx="68">
                  <c:v>10858</c:v>
                </c:pt>
                <c:pt idx="69">
                  <c:v>25038</c:v>
                </c:pt>
                <c:pt idx="70">
                  <c:v>9092</c:v>
                </c:pt>
                <c:pt idx="71">
                  <c:v>17662</c:v>
                </c:pt>
                <c:pt idx="72">
                  <c:v>5924</c:v>
                </c:pt>
                <c:pt idx="73">
                  <c:v>25347</c:v>
                </c:pt>
                <c:pt idx="74">
                  <c:v>8910</c:v>
                </c:pt>
                <c:pt idx="75">
                  <c:v>20438</c:v>
                </c:pt>
                <c:pt idx="76">
                  <c:v>8760</c:v>
                </c:pt>
                <c:pt idx="77">
                  <c:v>6625</c:v>
                </c:pt>
                <c:pt idx="78">
                  <c:v>23329</c:v>
                </c:pt>
                <c:pt idx="79">
                  <c:v>7299</c:v>
                </c:pt>
                <c:pt idx="80">
                  <c:v>14496</c:v>
                </c:pt>
                <c:pt idx="81">
                  <c:v>25703</c:v>
                </c:pt>
                <c:pt idx="82">
                  <c:v>15108</c:v>
                </c:pt>
                <c:pt idx="83">
                  <c:v>18867</c:v>
                </c:pt>
                <c:pt idx="84">
                  <c:v>17574</c:v>
                </c:pt>
                <c:pt idx="85">
                  <c:v>12840</c:v>
                </c:pt>
                <c:pt idx="86">
                  <c:v>21079</c:v>
                </c:pt>
                <c:pt idx="87">
                  <c:v>23486</c:v>
                </c:pt>
                <c:pt idx="88">
                  <c:v>5960</c:v>
                </c:pt>
                <c:pt idx="89">
                  <c:v>13301</c:v>
                </c:pt>
                <c:pt idx="90">
                  <c:v>10563</c:v>
                </c:pt>
                <c:pt idx="91">
                  <c:v>19949</c:v>
                </c:pt>
                <c:pt idx="92">
                  <c:v>14273</c:v>
                </c:pt>
                <c:pt idx="93">
                  <c:v>9247</c:v>
                </c:pt>
                <c:pt idx="94">
                  <c:v>11972</c:v>
                </c:pt>
                <c:pt idx="95">
                  <c:v>13314</c:v>
                </c:pt>
                <c:pt idx="96">
                  <c:v>14749</c:v>
                </c:pt>
                <c:pt idx="97">
                  <c:v>6868</c:v>
                </c:pt>
                <c:pt idx="98">
                  <c:v>6027</c:v>
                </c:pt>
                <c:pt idx="99">
                  <c:v>25267</c:v>
                </c:pt>
                <c:pt idx="100">
                  <c:v>5900</c:v>
                </c:pt>
                <c:pt idx="101">
                  <c:v>11181</c:v>
                </c:pt>
                <c:pt idx="102">
                  <c:v>9592</c:v>
                </c:pt>
                <c:pt idx="103">
                  <c:v>5291</c:v>
                </c:pt>
                <c:pt idx="104">
                  <c:v>22244</c:v>
                </c:pt>
                <c:pt idx="105">
                  <c:v>6824</c:v>
                </c:pt>
                <c:pt idx="106">
                  <c:v>24112</c:v>
                </c:pt>
                <c:pt idx="107">
                  <c:v>25478</c:v>
                </c:pt>
                <c:pt idx="108">
                  <c:v>11235</c:v>
                </c:pt>
                <c:pt idx="109">
                  <c:v>6120</c:v>
                </c:pt>
                <c:pt idx="110">
                  <c:v>20572</c:v>
                </c:pt>
                <c:pt idx="111">
                  <c:v>14975</c:v>
                </c:pt>
                <c:pt idx="112">
                  <c:v>22234</c:v>
                </c:pt>
                <c:pt idx="113">
                  <c:v>6532</c:v>
                </c:pt>
                <c:pt idx="114">
                  <c:v>24858</c:v>
                </c:pt>
                <c:pt idx="115">
                  <c:v>13883</c:v>
                </c:pt>
                <c:pt idx="116">
                  <c:v>18654</c:v>
                </c:pt>
                <c:pt idx="117">
                  <c:v>25234</c:v>
                </c:pt>
                <c:pt idx="118">
                  <c:v>6772</c:v>
                </c:pt>
                <c:pt idx="119">
                  <c:v>22428</c:v>
                </c:pt>
                <c:pt idx="120">
                  <c:v>11911</c:v>
                </c:pt>
                <c:pt idx="121">
                  <c:v>21900</c:v>
                </c:pt>
                <c:pt idx="122">
                  <c:v>25542</c:v>
                </c:pt>
                <c:pt idx="123">
                  <c:v>7140</c:v>
                </c:pt>
                <c:pt idx="124">
                  <c:v>20474</c:v>
                </c:pt>
                <c:pt idx="125">
                  <c:v>8698</c:v>
                </c:pt>
                <c:pt idx="126">
                  <c:v>10402</c:v>
                </c:pt>
                <c:pt idx="127">
                  <c:v>26618</c:v>
                </c:pt>
                <c:pt idx="128">
                  <c:v>7975</c:v>
                </c:pt>
                <c:pt idx="129">
                  <c:v>19054</c:v>
                </c:pt>
                <c:pt idx="130">
                  <c:v>13740</c:v>
                </c:pt>
                <c:pt idx="131">
                  <c:v>18442</c:v>
                </c:pt>
                <c:pt idx="132">
                  <c:v>10104</c:v>
                </c:pt>
                <c:pt idx="133">
                  <c:v>21771</c:v>
                </c:pt>
                <c:pt idx="134">
                  <c:v>22191</c:v>
                </c:pt>
                <c:pt idx="135">
                  <c:v>27753</c:v>
                </c:pt>
                <c:pt idx="136">
                  <c:v>23736</c:v>
                </c:pt>
                <c:pt idx="137">
                  <c:v>27393</c:v>
                </c:pt>
                <c:pt idx="138">
                  <c:v>10343</c:v>
                </c:pt>
                <c:pt idx="139">
                  <c:v>25259</c:v>
                </c:pt>
                <c:pt idx="140">
                  <c:v>24827</c:v>
                </c:pt>
                <c:pt idx="141">
                  <c:v>11908</c:v>
                </c:pt>
                <c:pt idx="142">
                  <c:v>11005</c:v>
                </c:pt>
                <c:pt idx="143">
                  <c:v>26333</c:v>
                </c:pt>
                <c:pt idx="144">
                  <c:v>5495</c:v>
                </c:pt>
                <c:pt idx="145">
                  <c:v>15655</c:v>
                </c:pt>
                <c:pt idx="146">
                  <c:v>13763</c:v>
                </c:pt>
                <c:pt idx="147">
                  <c:v>26073</c:v>
                </c:pt>
                <c:pt idx="148">
                  <c:v>12774</c:v>
                </c:pt>
                <c:pt idx="149">
                  <c:v>19000</c:v>
                </c:pt>
                <c:pt idx="150">
                  <c:v>14051</c:v>
                </c:pt>
                <c:pt idx="151">
                  <c:v>27782</c:v>
                </c:pt>
                <c:pt idx="152">
                  <c:v>7859</c:v>
                </c:pt>
                <c:pt idx="153">
                  <c:v>15773</c:v>
                </c:pt>
                <c:pt idx="154">
                  <c:v>20595</c:v>
                </c:pt>
                <c:pt idx="155">
                  <c:v>12031</c:v>
                </c:pt>
                <c:pt idx="156">
                  <c:v>15128</c:v>
                </c:pt>
                <c:pt idx="157">
                  <c:v>11826</c:v>
                </c:pt>
                <c:pt idx="158">
                  <c:v>12562</c:v>
                </c:pt>
                <c:pt idx="159">
                  <c:v>13013</c:v>
                </c:pt>
                <c:pt idx="160">
                  <c:v>12937</c:v>
                </c:pt>
                <c:pt idx="161">
                  <c:v>14534</c:v>
                </c:pt>
                <c:pt idx="162">
                  <c:v>8182</c:v>
                </c:pt>
                <c:pt idx="163">
                  <c:v>10615</c:v>
                </c:pt>
                <c:pt idx="164">
                  <c:v>20109</c:v>
                </c:pt>
                <c:pt idx="165">
                  <c:v>26024</c:v>
                </c:pt>
                <c:pt idx="166">
                  <c:v>26730</c:v>
                </c:pt>
                <c:pt idx="167">
                  <c:v>10563</c:v>
                </c:pt>
                <c:pt idx="168">
                  <c:v>27575</c:v>
                </c:pt>
                <c:pt idx="169">
                  <c:v>14479</c:v>
                </c:pt>
                <c:pt idx="170">
                  <c:v>15915</c:v>
                </c:pt>
                <c:pt idx="171">
                  <c:v>12767</c:v>
                </c:pt>
                <c:pt idx="172">
                  <c:v>12170</c:v>
                </c:pt>
                <c:pt idx="173">
                  <c:v>7245</c:v>
                </c:pt>
                <c:pt idx="174">
                  <c:v>12985</c:v>
                </c:pt>
                <c:pt idx="175">
                  <c:v>16377</c:v>
                </c:pt>
                <c:pt idx="176">
                  <c:v>11453</c:v>
                </c:pt>
                <c:pt idx="177">
                  <c:v>12323</c:v>
                </c:pt>
                <c:pt idx="178">
                  <c:v>11911</c:v>
                </c:pt>
                <c:pt idx="179">
                  <c:v>27809</c:v>
                </c:pt>
                <c:pt idx="180">
                  <c:v>21464</c:v>
                </c:pt>
                <c:pt idx="181">
                  <c:v>27126</c:v>
                </c:pt>
                <c:pt idx="182">
                  <c:v>10681</c:v>
                </c:pt>
                <c:pt idx="183">
                  <c:v>5413</c:v>
                </c:pt>
                <c:pt idx="184">
                  <c:v>25058</c:v>
                </c:pt>
                <c:pt idx="185">
                  <c:v>18303</c:v>
                </c:pt>
                <c:pt idx="186">
                  <c:v>5526</c:v>
                </c:pt>
                <c:pt idx="187">
                  <c:v>17460</c:v>
                </c:pt>
                <c:pt idx="188">
                  <c:v>14475</c:v>
                </c:pt>
                <c:pt idx="189">
                  <c:v>20162</c:v>
                </c:pt>
                <c:pt idx="190">
                  <c:v>17103</c:v>
                </c:pt>
                <c:pt idx="191">
                  <c:v>15461</c:v>
                </c:pt>
                <c:pt idx="192">
                  <c:v>22103</c:v>
                </c:pt>
                <c:pt idx="193">
                  <c:v>11625</c:v>
                </c:pt>
                <c:pt idx="194">
                  <c:v>5281</c:v>
                </c:pt>
                <c:pt idx="195">
                  <c:v>13424</c:v>
                </c:pt>
                <c:pt idx="196">
                  <c:v>13140</c:v>
                </c:pt>
                <c:pt idx="197">
                  <c:v>19538</c:v>
                </c:pt>
                <c:pt idx="198">
                  <c:v>7881</c:v>
                </c:pt>
                <c:pt idx="199">
                  <c:v>11418</c:v>
                </c:pt>
              </c:numCache>
            </c:numRef>
          </c:xVal>
          <c:yVal>
            <c:numRef>
              <c:f>'Task 6'!$D$2:$D$201</c:f>
              <c:numCache>
                <c:formatCode>0.00</c:formatCode>
                <c:ptCount val="200"/>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4">
                  <c:v>0</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yVal>
          <c:smooth val="0"/>
          <c:extLst>
            <c:ext xmlns:c16="http://schemas.microsoft.com/office/drawing/2014/chart" uri="{C3380CC4-5D6E-409C-BE32-E72D297353CC}">
              <c16:uniqueId val="{00000005-6DDF-4E11-81CC-7FACA14B1AE9}"/>
            </c:ext>
          </c:extLst>
        </c:ser>
        <c:dLbls>
          <c:showLegendKey val="0"/>
          <c:showVal val="0"/>
          <c:showCatName val="0"/>
          <c:showSerName val="0"/>
          <c:showPercent val="0"/>
          <c:showBubbleSize val="0"/>
        </c:dLbls>
        <c:axId val="610074207"/>
        <c:axId val="610074623"/>
      </c:scatterChart>
      <c:valAx>
        <c:axId val="610074207"/>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4623"/>
        <c:crosses val="autoZero"/>
        <c:crossBetween val="midCat"/>
      </c:valAx>
      <c:valAx>
        <c:axId val="610074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4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clg.xlsx]Task 4!PivotTable6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10"/>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24"/>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33"/>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
        <c:idx val="42"/>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60000"/>
              <a:lumOff val="40000"/>
            </a:schemeClr>
          </a:solidFill>
          <a:ln>
            <a:noFill/>
          </a:ln>
          <a:effectLst/>
        </c:spPr>
        <c:dLbl>
          <c:idx val="0"/>
          <c:layout>
            <c:manualLayout>
              <c:x val="0"/>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0"/>
              <c:y val="0.3240740740740740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dLbl>
          <c:idx val="0"/>
          <c:layout>
            <c:manualLayout>
              <c:x val="-4.8661238347840187E-17"/>
              <c:y val="0.328703703703703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dLbl>
          <c:idx val="0"/>
          <c:layout>
            <c:manualLayout>
              <c:x val="-4.8661238347840187E-17"/>
              <c:y val="0.3379629629629630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dLbl>
          <c:idx val="0"/>
          <c:layout>
            <c:manualLayout>
              <c:x val="0"/>
              <c:y val="0.3101851851851851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dLbl>
          <c:idx val="0"/>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Lst>
        </c:dLbl>
      </c:pivotFmt>
    </c:pivotFmts>
    <c:plotArea>
      <c:layout/>
      <c:barChart>
        <c:barDir val="col"/>
        <c:grouping val="clustered"/>
        <c:varyColors val="0"/>
        <c:ser>
          <c:idx val="0"/>
          <c:order val="0"/>
          <c:tx>
            <c:strRef>
              <c:f>'Task 4'!$O$4:$O$5</c:f>
              <c:strCache>
                <c:ptCount val="1"/>
                <c:pt idx="0">
                  <c:v>Reel</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11DC-4883-86E6-0BE794F1BFC9}"/>
              </c:ext>
            </c:extLst>
          </c:dPt>
          <c:dLbls>
            <c:dLbl>
              <c:idx val="2"/>
              <c:layout>
                <c:manualLayout>
                  <c:x val="0"/>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DC-4883-86E6-0BE794F1BFC9}"/>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4'!$O$6:$O$9</c:f>
              <c:numCache>
                <c:formatCode>General</c:formatCode>
                <c:ptCount val="3"/>
                <c:pt idx="2">
                  <c:v>42546.65517241379</c:v>
                </c:pt>
              </c:numCache>
            </c:numRef>
          </c:val>
          <c:extLst>
            <c:ext xmlns:c16="http://schemas.microsoft.com/office/drawing/2014/chart" uri="{C3380CC4-5D6E-409C-BE32-E72D297353CC}">
              <c16:uniqueId val="{00000002-11DC-4883-86E6-0BE794F1BFC9}"/>
            </c:ext>
          </c:extLst>
        </c:ser>
        <c:ser>
          <c:idx val="1"/>
          <c:order val="1"/>
          <c:tx>
            <c:strRef>
              <c:f>'Task 4'!$P$4:$P$5</c:f>
              <c:strCache>
                <c:ptCount val="1"/>
                <c:pt idx="0">
                  <c:v>Story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11DC-4883-86E6-0BE794F1BFC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11DC-4883-86E6-0BE794F1BFC9}"/>
              </c:ext>
            </c:extLst>
          </c:dPt>
          <c:dLbls>
            <c:dLbl>
              <c:idx val="0"/>
              <c:layout>
                <c:manualLayout>
                  <c:x val="0"/>
                  <c:y val="0.32407407407407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DC-4883-86E6-0BE794F1BFC9}"/>
                </c:ext>
              </c:extLst>
            </c:dLbl>
            <c:dLbl>
              <c:idx val="1"/>
              <c:layout>
                <c:manualLayout>
                  <c:x val="-4.8661238347840187E-17"/>
                  <c:y val="0.32870370370370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DC-4883-86E6-0BE794F1BFC9}"/>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4'!$P$6:$P$9</c:f>
              <c:numCache>
                <c:formatCode>General</c:formatCode>
                <c:ptCount val="3"/>
                <c:pt idx="0">
                  <c:v>37626.34782608696</c:v>
                </c:pt>
                <c:pt idx="1">
                  <c:v>42215.747126436785</c:v>
                </c:pt>
              </c:numCache>
            </c:numRef>
          </c:val>
          <c:extLst>
            <c:ext xmlns:c16="http://schemas.microsoft.com/office/drawing/2014/chart" uri="{C3380CC4-5D6E-409C-BE32-E72D297353CC}">
              <c16:uniqueId val="{00000007-11DC-4883-86E6-0BE794F1BFC9}"/>
            </c:ext>
          </c:extLst>
        </c:ser>
        <c:ser>
          <c:idx val="2"/>
          <c:order val="2"/>
          <c:tx>
            <c:strRef>
              <c:f>'Task 4'!$Q$4:$Q$5</c:f>
              <c:strCache>
                <c:ptCount val="1"/>
                <c:pt idx="0">
                  <c:v>Text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9-11DC-4883-86E6-0BE794F1BFC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B-11DC-4883-86E6-0BE794F1BFC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D-11DC-4883-86E6-0BE794F1BFC9}"/>
              </c:ext>
            </c:extLst>
          </c:dPt>
          <c:dLbls>
            <c:dLbl>
              <c:idx val="0"/>
              <c:layout>
                <c:manualLayout>
                  <c:x val="-4.8661238347840187E-17"/>
                  <c:y val="0.337962962962963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DC-4883-86E6-0BE794F1BFC9}"/>
                </c:ext>
              </c:extLst>
            </c:dLbl>
            <c:dLbl>
              <c:idx val="1"/>
              <c:layout>
                <c:manualLayout>
                  <c:x val="0"/>
                  <c:y val="0.31018518518518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1DC-4883-86E6-0BE794F1BFC9}"/>
                </c:ext>
              </c:extLst>
            </c:dLbl>
            <c:dLbl>
              <c:idx val="2"/>
              <c:layout>
                <c:manualLayout>
                  <c:x val="1.3271400132714001E-3"/>
                  <c:y val="0.33564814814814814"/>
                </c:manualLayout>
              </c:layout>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56602521566024"/>
                      <c:h val="6.0115923009623796E-2"/>
                    </c:manualLayout>
                  </c15:layout>
                </c:ext>
                <c:ext xmlns:c16="http://schemas.microsoft.com/office/drawing/2014/chart" uri="{C3380CC4-5D6E-409C-BE32-E72D297353CC}">
                  <c16:uniqueId val="{0000000D-11DC-4883-86E6-0BE794F1BFC9}"/>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4'!$N$6:$N$9</c:f>
              <c:strCache>
                <c:ptCount val="3"/>
                <c:pt idx="0">
                  <c:v>Instagram</c:v>
                </c:pt>
                <c:pt idx="1">
                  <c:v>Twitter</c:v>
                </c:pt>
                <c:pt idx="2">
                  <c:v>YouTube</c:v>
                </c:pt>
              </c:strCache>
            </c:strRef>
          </c:cat>
          <c:val>
            <c:numRef>
              <c:f>'Task 4'!$Q$6:$Q$9</c:f>
              <c:numCache>
                <c:formatCode>General</c:formatCode>
                <c:ptCount val="3"/>
                <c:pt idx="0">
                  <c:v>40728.530303030304</c:v>
                </c:pt>
                <c:pt idx="1">
                  <c:v>40429.163934426229</c:v>
                </c:pt>
                <c:pt idx="2">
                  <c:v>45415.911764705881</c:v>
                </c:pt>
              </c:numCache>
            </c:numRef>
          </c:val>
          <c:extLst>
            <c:ext xmlns:c16="http://schemas.microsoft.com/office/drawing/2014/chart" uri="{C3380CC4-5D6E-409C-BE32-E72D297353CC}">
              <c16:uniqueId val="{0000000E-11DC-4883-86E6-0BE794F1BFC9}"/>
            </c:ext>
          </c:extLst>
        </c:ser>
        <c:dLbls>
          <c:dLblPos val="outEnd"/>
          <c:showLegendKey val="0"/>
          <c:showVal val="1"/>
          <c:showCatName val="0"/>
          <c:showSerName val="0"/>
          <c:showPercent val="0"/>
          <c:showBubbleSize val="0"/>
        </c:dLbls>
        <c:gapWidth val="219"/>
        <c:overlap val="-27"/>
        <c:axId val="1987143008"/>
        <c:axId val="1987144256"/>
      </c:barChart>
      <c:catAx>
        <c:axId val="19871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4256"/>
        <c:crosses val="autoZero"/>
        <c:auto val="1"/>
        <c:lblAlgn val="ctr"/>
        <c:lblOffset val="100"/>
        <c:noMultiLvlLbl val="0"/>
      </c:catAx>
      <c:valAx>
        <c:axId val="1987144256"/>
        <c:scaling>
          <c:orientation val="minMax"/>
          <c:max val="46000"/>
          <c:min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4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Moving Average of Follower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2700" cap="rnd">
              <a:solidFill>
                <a:srgbClr val="00B0F0"/>
              </a:solidFill>
              <a:round/>
            </a:ln>
            <a:effectLst/>
          </c:spPr>
          <c:marker>
            <c:symbol val="none"/>
          </c:marker>
          <c:trendline>
            <c:spPr>
              <a:ln w="28575" cap="rnd" cmpd="sng">
                <a:solidFill>
                  <a:srgbClr val="FF0000"/>
                </a:solidFill>
                <a:prstDash val="solid"/>
              </a:ln>
              <a:effectLst/>
            </c:spPr>
            <c:trendlineType val="movingAvg"/>
            <c:period val="6"/>
            <c:dispRSqr val="0"/>
            <c:dispEq val="0"/>
          </c:trendline>
          <c:cat>
            <c:numRef>
              <c:f>'Engagement Summary'!$A$2:$A$207</c:f>
              <c:numCache>
                <c:formatCode>yyyy\-mm\-dd;@</c:formatCode>
                <c:ptCount val="206"/>
                <c:pt idx="0">
                  <c:v>45446</c:v>
                </c:pt>
                <c:pt idx="1">
                  <c:v>45446</c:v>
                </c:pt>
                <c:pt idx="2">
                  <c:v>45446</c:v>
                </c:pt>
                <c:pt idx="3">
                  <c:v>45453</c:v>
                </c:pt>
                <c:pt idx="4">
                  <c:v>45453</c:v>
                </c:pt>
                <c:pt idx="5">
                  <c:v>45453</c:v>
                </c:pt>
                <c:pt idx="6">
                  <c:v>45460</c:v>
                </c:pt>
                <c:pt idx="7">
                  <c:v>45460</c:v>
                </c:pt>
                <c:pt idx="8">
                  <c:v>45460</c:v>
                </c:pt>
                <c:pt idx="9">
                  <c:v>45467</c:v>
                </c:pt>
                <c:pt idx="10">
                  <c:v>45467</c:v>
                </c:pt>
                <c:pt idx="11">
                  <c:v>45467</c:v>
                </c:pt>
                <c:pt idx="12">
                  <c:v>45474</c:v>
                </c:pt>
                <c:pt idx="13">
                  <c:v>45474</c:v>
                </c:pt>
                <c:pt idx="14">
                  <c:v>45474</c:v>
                </c:pt>
                <c:pt idx="15">
                  <c:v>45481</c:v>
                </c:pt>
                <c:pt idx="16">
                  <c:v>45481</c:v>
                </c:pt>
                <c:pt idx="17">
                  <c:v>45481</c:v>
                </c:pt>
                <c:pt idx="18">
                  <c:v>45488</c:v>
                </c:pt>
                <c:pt idx="19">
                  <c:v>45488</c:v>
                </c:pt>
                <c:pt idx="20">
                  <c:v>45488</c:v>
                </c:pt>
                <c:pt idx="21">
                  <c:v>45495</c:v>
                </c:pt>
                <c:pt idx="22">
                  <c:v>45495</c:v>
                </c:pt>
                <c:pt idx="23">
                  <c:v>45495</c:v>
                </c:pt>
                <c:pt idx="24">
                  <c:v>45502</c:v>
                </c:pt>
                <c:pt idx="25">
                  <c:v>45502</c:v>
                </c:pt>
                <c:pt idx="26">
                  <c:v>45502</c:v>
                </c:pt>
                <c:pt idx="27">
                  <c:v>45509</c:v>
                </c:pt>
                <c:pt idx="28">
                  <c:v>45509</c:v>
                </c:pt>
                <c:pt idx="29">
                  <c:v>45509</c:v>
                </c:pt>
                <c:pt idx="30">
                  <c:v>45516</c:v>
                </c:pt>
                <c:pt idx="31">
                  <c:v>45516</c:v>
                </c:pt>
                <c:pt idx="32">
                  <c:v>45516</c:v>
                </c:pt>
                <c:pt idx="33">
                  <c:v>45523</c:v>
                </c:pt>
                <c:pt idx="34">
                  <c:v>45523</c:v>
                </c:pt>
                <c:pt idx="35">
                  <c:v>45523</c:v>
                </c:pt>
                <c:pt idx="36">
                  <c:v>45530</c:v>
                </c:pt>
                <c:pt idx="37">
                  <c:v>45530</c:v>
                </c:pt>
                <c:pt idx="38">
                  <c:v>45530</c:v>
                </c:pt>
                <c:pt idx="39">
                  <c:v>45537</c:v>
                </c:pt>
                <c:pt idx="40">
                  <c:v>45537</c:v>
                </c:pt>
                <c:pt idx="41">
                  <c:v>45537</c:v>
                </c:pt>
                <c:pt idx="42">
                  <c:v>45544</c:v>
                </c:pt>
                <c:pt idx="43">
                  <c:v>45544</c:v>
                </c:pt>
                <c:pt idx="44">
                  <c:v>45544</c:v>
                </c:pt>
                <c:pt idx="45">
                  <c:v>45551</c:v>
                </c:pt>
                <c:pt idx="46">
                  <c:v>45551</c:v>
                </c:pt>
                <c:pt idx="47">
                  <c:v>45551</c:v>
                </c:pt>
                <c:pt idx="48">
                  <c:v>45558</c:v>
                </c:pt>
                <c:pt idx="49">
                  <c:v>45558</c:v>
                </c:pt>
                <c:pt idx="50">
                  <c:v>45558</c:v>
                </c:pt>
                <c:pt idx="51">
                  <c:v>45565</c:v>
                </c:pt>
                <c:pt idx="52">
                  <c:v>45565</c:v>
                </c:pt>
                <c:pt idx="53">
                  <c:v>45565</c:v>
                </c:pt>
                <c:pt idx="54">
                  <c:v>45572</c:v>
                </c:pt>
                <c:pt idx="55">
                  <c:v>45572</c:v>
                </c:pt>
                <c:pt idx="56">
                  <c:v>45572</c:v>
                </c:pt>
                <c:pt idx="57">
                  <c:v>45579</c:v>
                </c:pt>
                <c:pt idx="58">
                  <c:v>45579</c:v>
                </c:pt>
                <c:pt idx="59">
                  <c:v>45579</c:v>
                </c:pt>
                <c:pt idx="60">
                  <c:v>45586</c:v>
                </c:pt>
                <c:pt idx="61">
                  <c:v>45586</c:v>
                </c:pt>
                <c:pt idx="62">
                  <c:v>45586</c:v>
                </c:pt>
                <c:pt idx="63">
                  <c:v>45593</c:v>
                </c:pt>
                <c:pt idx="64">
                  <c:v>45593</c:v>
                </c:pt>
                <c:pt idx="65">
                  <c:v>45593</c:v>
                </c:pt>
                <c:pt idx="66">
                  <c:v>45600</c:v>
                </c:pt>
                <c:pt idx="67">
                  <c:v>45600</c:v>
                </c:pt>
                <c:pt idx="68">
                  <c:v>45600</c:v>
                </c:pt>
                <c:pt idx="69">
                  <c:v>45607</c:v>
                </c:pt>
                <c:pt idx="70">
                  <c:v>45607</c:v>
                </c:pt>
                <c:pt idx="71">
                  <c:v>45607</c:v>
                </c:pt>
                <c:pt idx="72">
                  <c:v>45614</c:v>
                </c:pt>
                <c:pt idx="73">
                  <c:v>45614</c:v>
                </c:pt>
                <c:pt idx="74">
                  <c:v>45614</c:v>
                </c:pt>
                <c:pt idx="75">
                  <c:v>45621</c:v>
                </c:pt>
                <c:pt idx="76">
                  <c:v>45621</c:v>
                </c:pt>
                <c:pt idx="77">
                  <c:v>45621</c:v>
                </c:pt>
                <c:pt idx="78">
                  <c:v>45628</c:v>
                </c:pt>
                <c:pt idx="79">
                  <c:v>45628</c:v>
                </c:pt>
                <c:pt idx="80">
                  <c:v>45628</c:v>
                </c:pt>
                <c:pt idx="81">
                  <c:v>45635</c:v>
                </c:pt>
                <c:pt idx="82">
                  <c:v>45635</c:v>
                </c:pt>
                <c:pt idx="83">
                  <c:v>45635</c:v>
                </c:pt>
                <c:pt idx="84">
                  <c:v>45642</c:v>
                </c:pt>
                <c:pt idx="85">
                  <c:v>45642</c:v>
                </c:pt>
                <c:pt idx="86">
                  <c:v>45642</c:v>
                </c:pt>
                <c:pt idx="87">
                  <c:v>45649</c:v>
                </c:pt>
                <c:pt idx="88">
                  <c:v>45649</c:v>
                </c:pt>
                <c:pt idx="89">
                  <c:v>45649</c:v>
                </c:pt>
                <c:pt idx="90">
                  <c:v>45656</c:v>
                </c:pt>
                <c:pt idx="91">
                  <c:v>45656</c:v>
                </c:pt>
                <c:pt idx="92">
                  <c:v>45656</c:v>
                </c:pt>
                <c:pt idx="93">
                  <c:v>45663</c:v>
                </c:pt>
                <c:pt idx="94">
                  <c:v>45663</c:v>
                </c:pt>
                <c:pt idx="95">
                  <c:v>45663</c:v>
                </c:pt>
                <c:pt idx="96">
                  <c:v>45670</c:v>
                </c:pt>
                <c:pt idx="97">
                  <c:v>45670</c:v>
                </c:pt>
                <c:pt idx="98">
                  <c:v>45670</c:v>
                </c:pt>
                <c:pt idx="99">
                  <c:v>45677</c:v>
                </c:pt>
                <c:pt idx="100">
                  <c:v>45677</c:v>
                </c:pt>
                <c:pt idx="101">
                  <c:v>45677</c:v>
                </c:pt>
                <c:pt idx="102">
                  <c:v>45684</c:v>
                </c:pt>
                <c:pt idx="103">
                  <c:v>45684</c:v>
                </c:pt>
                <c:pt idx="104">
                  <c:v>45684</c:v>
                </c:pt>
                <c:pt idx="105">
                  <c:v>45691</c:v>
                </c:pt>
                <c:pt idx="106">
                  <c:v>45691</c:v>
                </c:pt>
                <c:pt idx="107">
                  <c:v>45691</c:v>
                </c:pt>
                <c:pt idx="108">
                  <c:v>45698</c:v>
                </c:pt>
                <c:pt idx="109">
                  <c:v>45698</c:v>
                </c:pt>
                <c:pt idx="110">
                  <c:v>45698</c:v>
                </c:pt>
                <c:pt idx="111">
                  <c:v>45705</c:v>
                </c:pt>
                <c:pt idx="112">
                  <c:v>45705</c:v>
                </c:pt>
                <c:pt idx="113">
                  <c:v>45705</c:v>
                </c:pt>
                <c:pt idx="114">
                  <c:v>45712</c:v>
                </c:pt>
                <c:pt idx="115">
                  <c:v>45712</c:v>
                </c:pt>
                <c:pt idx="116">
                  <c:v>45712</c:v>
                </c:pt>
                <c:pt idx="117">
                  <c:v>45719</c:v>
                </c:pt>
                <c:pt idx="118">
                  <c:v>45719</c:v>
                </c:pt>
                <c:pt idx="119">
                  <c:v>45719</c:v>
                </c:pt>
                <c:pt idx="120">
                  <c:v>45726</c:v>
                </c:pt>
                <c:pt idx="121">
                  <c:v>45726</c:v>
                </c:pt>
                <c:pt idx="122">
                  <c:v>45726</c:v>
                </c:pt>
                <c:pt idx="123">
                  <c:v>45733</c:v>
                </c:pt>
                <c:pt idx="124">
                  <c:v>45733</c:v>
                </c:pt>
                <c:pt idx="125">
                  <c:v>45733</c:v>
                </c:pt>
                <c:pt idx="126">
                  <c:v>45740</c:v>
                </c:pt>
                <c:pt idx="127">
                  <c:v>45740</c:v>
                </c:pt>
                <c:pt idx="128">
                  <c:v>45740</c:v>
                </c:pt>
                <c:pt idx="129">
                  <c:v>45747</c:v>
                </c:pt>
                <c:pt idx="130">
                  <c:v>45747</c:v>
                </c:pt>
                <c:pt idx="131">
                  <c:v>45747</c:v>
                </c:pt>
                <c:pt idx="132">
                  <c:v>45754</c:v>
                </c:pt>
                <c:pt idx="133">
                  <c:v>45754</c:v>
                </c:pt>
                <c:pt idx="134">
                  <c:v>45754</c:v>
                </c:pt>
                <c:pt idx="135">
                  <c:v>45761</c:v>
                </c:pt>
                <c:pt idx="136">
                  <c:v>45761</c:v>
                </c:pt>
                <c:pt idx="137">
                  <c:v>45761</c:v>
                </c:pt>
                <c:pt idx="138">
                  <c:v>45768</c:v>
                </c:pt>
                <c:pt idx="139">
                  <c:v>45768</c:v>
                </c:pt>
                <c:pt idx="140">
                  <c:v>45768</c:v>
                </c:pt>
                <c:pt idx="141">
                  <c:v>45775</c:v>
                </c:pt>
                <c:pt idx="142">
                  <c:v>45775</c:v>
                </c:pt>
                <c:pt idx="143">
                  <c:v>45775</c:v>
                </c:pt>
                <c:pt idx="145">
                  <c:v>45782</c:v>
                </c:pt>
                <c:pt idx="146">
                  <c:v>45782</c:v>
                </c:pt>
                <c:pt idx="147">
                  <c:v>45789</c:v>
                </c:pt>
                <c:pt idx="148">
                  <c:v>45789</c:v>
                </c:pt>
                <c:pt idx="149">
                  <c:v>45789</c:v>
                </c:pt>
                <c:pt idx="150">
                  <c:v>45796</c:v>
                </c:pt>
                <c:pt idx="151">
                  <c:v>45796</c:v>
                </c:pt>
                <c:pt idx="152">
                  <c:v>45796</c:v>
                </c:pt>
                <c:pt idx="153">
                  <c:v>45803</c:v>
                </c:pt>
                <c:pt idx="154">
                  <c:v>45803</c:v>
                </c:pt>
                <c:pt idx="155">
                  <c:v>45803</c:v>
                </c:pt>
                <c:pt idx="156">
                  <c:v>45810</c:v>
                </c:pt>
                <c:pt idx="157">
                  <c:v>45810</c:v>
                </c:pt>
                <c:pt idx="158">
                  <c:v>45810</c:v>
                </c:pt>
                <c:pt idx="159">
                  <c:v>45817</c:v>
                </c:pt>
                <c:pt idx="160">
                  <c:v>45817</c:v>
                </c:pt>
                <c:pt idx="161">
                  <c:v>45817</c:v>
                </c:pt>
                <c:pt idx="162">
                  <c:v>45824</c:v>
                </c:pt>
                <c:pt idx="163">
                  <c:v>45824</c:v>
                </c:pt>
                <c:pt idx="164">
                  <c:v>45824</c:v>
                </c:pt>
                <c:pt idx="165">
                  <c:v>45831</c:v>
                </c:pt>
                <c:pt idx="166">
                  <c:v>45831</c:v>
                </c:pt>
                <c:pt idx="167">
                  <c:v>45831</c:v>
                </c:pt>
                <c:pt idx="168">
                  <c:v>45838</c:v>
                </c:pt>
                <c:pt idx="169">
                  <c:v>45838</c:v>
                </c:pt>
                <c:pt idx="170">
                  <c:v>45838</c:v>
                </c:pt>
                <c:pt idx="171">
                  <c:v>45845</c:v>
                </c:pt>
                <c:pt idx="172">
                  <c:v>45845</c:v>
                </c:pt>
                <c:pt idx="173">
                  <c:v>45845</c:v>
                </c:pt>
                <c:pt idx="174">
                  <c:v>45852</c:v>
                </c:pt>
                <c:pt idx="175">
                  <c:v>45852</c:v>
                </c:pt>
                <c:pt idx="176">
                  <c:v>45852</c:v>
                </c:pt>
                <c:pt idx="177">
                  <c:v>45859</c:v>
                </c:pt>
                <c:pt idx="178">
                  <c:v>45859</c:v>
                </c:pt>
                <c:pt idx="179">
                  <c:v>45859</c:v>
                </c:pt>
                <c:pt idx="180">
                  <c:v>45866</c:v>
                </c:pt>
                <c:pt idx="181">
                  <c:v>45866</c:v>
                </c:pt>
                <c:pt idx="182">
                  <c:v>45866</c:v>
                </c:pt>
                <c:pt idx="183">
                  <c:v>45873</c:v>
                </c:pt>
                <c:pt idx="184">
                  <c:v>45873</c:v>
                </c:pt>
                <c:pt idx="185">
                  <c:v>45873</c:v>
                </c:pt>
                <c:pt idx="186">
                  <c:v>45880</c:v>
                </c:pt>
                <c:pt idx="187">
                  <c:v>45880</c:v>
                </c:pt>
                <c:pt idx="188">
                  <c:v>45880</c:v>
                </c:pt>
                <c:pt idx="189">
                  <c:v>45887</c:v>
                </c:pt>
                <c:pt idx="190">
                  <c:v>45887</c:v>
                </c:pt>
                <c:pt idx="191">
                  <c:v>45887</c:v>
                </c:pt>
                <c:pt idx="192">
                  <c:v>45894</c:v>
                </c:pt>
                <c:pt idx="193">
                  <c:v>45894</c:v>
                </c:pt>
                <c:pt idx="194">
                  <c:v>45894</c:v>
                </c:pt>
                <c:pt idx="195">
                  <c:v>45901</c:v>
                </c:pt>
                <c:pt idx="196">
                  <c:v>45901</c:v>
                </c:pt>
                <c:pt idx="197">
                  <c:v>45901</c:v>
                </c:pt>
                <c:pt idx="198">
                  <c:v>45908</c:v>
                </c:pt>
                <c:pt idx="199">
                  <c:v>45908</c:v>
                </c:pt>
              </c:numCache>
            </c:numRef>
          </c:cat>
          <c:val>
            <c:numRef>
              <c:f>'Engagement Summary'!$E$2:$E$207</c:f>
              <c:numCache>
                <c:formatCode>0.00</c:formatCode>
                <c:ptCount val="206"/>
                <c:pt idx="0">
                  <c:v>1334</c:v>
                </c:pt>
                <c:pt idx="1">
                  <c:v>909</c:v>
                </c:pt>
                <c:pt idx="2">
                  <c:v>1176</c:v>
                </c:pt>
                <c:pt idx="3">
                  <c:v>928</c:v>
                </c:pt>
                <c:pt idx="4">
                  <c:v>1397</c:v>
                </c:pt>
                <c:pt idx="5">
                  <c:v>452</c:v>
                </c:pt>
                <c:pt idx="6">
                  <c:v>590</c:v>
                </c:pt>
                <c:pt idx="7">
                  <c:v>1283</c:v>
                </c:pt>
                <c:pt idx="8">
                  <c:v>1302</c:v>
                </c:pt>
                <c:pt idx="9">
                  <c:v>612</c:v>
                </c:pt>
                <c:pt idx="10">
                  <c:v>1121</c:v>
                </c:pt>
                <c:pt idx="11">
                  <c:v>700</c:v>
                </c:pt>
                <c:pt idx="12">
                  <c:v>714</c:v>
                </c:pt>
                <c:pt idx="13">
                  <c:v>595</c:v>
                </c:pt>
                <c:pt idx="14">
                  <c:v>1117</c:v>
                </c:pt>
                <c:pt idx="15">
                  <c:v>667</c:v>
                </c:pt>
                <c:pt idx="16">
                  <c:v>1371</c:v>
                </c:pt>
                <c:pt idx="17">
                  <c:v>1117</c:v>
                </c:pt>
                <c:pt idx="18">
                  <c:v>359</c:v>
                </c:pt>
                <c:pt idx="19">
                  <c:v>1098</c:v>
                </c:pt>
                <c:pt idx="20">
                  <c:v>912</c:v>
                </c:pt>
                <c:pt idx="21">
                  <c:v>792</c:v>
                </c:pt>
                <c:pt idx="22">
                  <c:v>364</c:v>
                </c:pt>
                <c:pt idx="23">
                  <c:v>1125</c:v>
                </c:pt>
                <c:pt idx="24">
                  <c:v>869</c:v>
                </c:pt>
                <c:pt idx="25">
                  <c:v>414</c:v>
                </c:pt>
                <c:pt idx="26">
                  <c:v>849</c:v>
                </c:pt>
                <c:pt idx="27">
                  <c:v>1353</c:v>
                </c:pt>
                <c:pt idx="28">
                  <c:v>582</c:v>
                </c:pt>
                <c:pt idx="29">
                  <c:v>758</c:v>
                </c:pt>
                <c:pt idx="30">
                  <c:v>977</c:v>
                </c:pt>
                <c:pt idx="31">
                  <c:v>1191</c:v>
                </c:pt>
                <c:pt idx="32">
                  <c:v>904</c:v>
                </c:pt>
                <c:pt idx="33">
                  <c:v>909</c:v>
                </c:pt>
                <c:pt idx="34">
                  <c:v>382</c:v>
                </c:pt>
                <c:pt idx="35">
                  <c:v>1009</c:v>
                </c:pt>
                <c:pt idx="36">
                  <c:v>1022</c:v>
                </c:pt>
                <c:pt idx="37">
                  <c:v>262</c:v>
                </c:pt>
                <c:pt idx="38">
                  <c:v>1166</c:v>
                </c:pt>
                <c:pt idx="39">
                  <c:v>515</c:v>
                </c:pt>
                <c:pt idx="40">
                  <c:v>956</c:v>
                </c:pt>
                <c:pt idx="41">
                  <c:v>1031</c:v>
                </c:pt>
                <c:pt idx="42">
                  <c:v>637</c:v>
                </c:pt>
                <c:pt idx="43">
                  <c:v>1268</c:v>
                </c:pt>
                <c:pt idx="44">
                  <c:v>725</c:v>
                </c:pt>
                <c:pt idx="45">
                  <c:v>471</c:v>
                </c:pt>
                <c:pt idx="46">
                  <c:v>1291</c:v>
                </c:pt>
                <c:pt idx="47">
                  <c:v>400</c:v>
                </c:pt>
                <c:pt idx="48">
                  <c:v>1113</c:v>
                </c:pt>
                <c:pt idx="49">
                  <c:v>1198</c:v>
                </c:pt>
                <c:pt idx="50">
                  <c:v>474</c:v>
                </c:pt>
                <c:pt idx="51">
                  <c:v>1132</c:v>
                </c:pt>
                <c:pt idx="52">
                  <c:v>844</c:v>
                </c:pt>
                <c:pt idx="53">
                  <c:v>1175</c:v>
                </c:pt>
                <c:pt idx="54">
                  <c:v>559</c:v>
                </c:pt>
                <c:pt idx="55">
                  <c:v>554</c:v>
                </c:pt>
                <c:pt idx="56">
                  <c:v>1225</c:v>
                </c:pt>
                <c:pt idx="57">
                  <c:v>892</c:v>
                </c:pt>
                <c:pt idx="58">
                  <c:v>536</c:v>
                </c:pt>
                <c:pt idx="59">
                  <c:v>1242</c:v>
                </c:pt>
                <c:pt idx="60">
                  <c:v>948</c:v>
                </c:pt>
                <c:pt idx="61">
                  <c:v>762</c:v>
                </c:pt>
                <c:pt idx="62">
                  <c:v>1082</c:v>
                </c:pt>
                <c:pt idx="63">
                  <c:v>1174</c:v>
                </c:pt>
                <c:pt idx="64">
                  <c:v>464</c:v>
                </c:pt>
                <c:pt idx="65">
                  <c:v>543</c:v>
                </c:pt>
                <c:pt idx="66">
                  <c:v>1202</c:v>
                </c:pt>
                <c:pt idx="67">
                  <c:v>1390</c:v>
                </c:pt>
                <c:pt idx="68">
                  <c:v>984</c:v>
                </c:pt>
                <c:pt idx="69">
                  <c:v>1204</c:v>
                </c:pt>
                <c:pt idx="70">
                  <c:v>532</c:v>
                </c:pt>
                <c:pt idx="71">
                  <c:v>1058</c:v>
                </c:pt>
                <c:pt idx="72">
                  <c:v>676</c:v>
                </c:pt>
                <c:pt idx="73">
                  <c:v>577</c:v>
                </c:pt>
                <c:pt idx="74">
                  <c:v>682</c:v>
                </c:pt>
                <c:pt idx="75">
                  <c:v>450</c:v>
                </c:pt>
                <c:pt idx="76">
                  <c:v>683</c:v>
                </c:pt>
                <c:pt idx="77">
                  <c:v>1154</c:v>
                </c:pt>
                <c:pt idx="78">
                  <c:v>808</c:v>
                </c:pt>
                <c:pt idx="79">
                  <c:v>871</c:v>
                </c:pt>
                <c:pt idx="80">
                  <c:v>704</c:v>
                </c:pt>
                <c:pt idx="81">
                  <c:v>611</c:v>
                </c:pt>
                <c:pt idx="82">
                  <c:v>405</c:v>
                </c:pt>
                <c:pt idx="83">
                  <c:v>382</c:v>
                </c:pt>
                <c:pt idx="84">
                  <c:v>1117</c:v>
                </c:pt>
                <c:pt idx="85">
                  <c:v>477</c:v>
                </c:pt>
                <c:pt idx="86">
                  <c:v>1099</c:v>
                </c:pt>
                <c:pt idx="87">
                  <c:v>567</c:v>
                </c:pt>
                <c:pt idx="88">
                  <c:v>1133</c:v>
                </c:pt>
                <c:pt idx="89">
                  <c:v>850</c:v>
                </c:pt>
                <c:pt idx="90">
                  <c:v>413</c:v>
                </c:pt>
                <c:pt idx="91">
                  <c:v>1387</c:v>
                </c:pt>
                <c:pt idx="92">
                  <c:v>537</c:v>
                </c:pt>
                <c:pt idx="93">
                  <c:v>443</c:v>
                </c:pt>
                <c:pt idx="94">
                  <c:v>1283</c:v>
                </c:pt>
                <c:pt idx="95">
                  <c:v>725</c:v>
                </c:pt>
                <c:pt idx="96">
                  <c:v>467</c:v>
                </c:pt>
                <c:pt idx="97">
                  <c:v>1354</c:v>
                </c:pt>
                <c:pt idx="98">
                  <c:v>520</c:v>
                </c:pt>
                <c:pt idx="99">
                  <c:v>442</c:v>
                </c:pt>
                <c:pt idx="100">
                  <c:v>546</c:v>
                </c:pt>
                <c:pt idx="101">
                  <c:v>844</c:v>
                </c:pt>
                <c:pt idx="102">
                  <c:v>341</c:v>
                </c:pt>
                <c:pt idx="103">
                  <c:v>869</c:v>
                </c:pt>
                <c:pt idx="104">
                  <c:v>718</c:v>
                </c:pt>
                <c:pt idx="105">
                  <c:v>735</c:v>
                </c:pt>
                <c:pt idx="106">
                  <c:v>523</c:v>
                </c:pt>
                <c:pt idx="107">
                  <c:v>422</c:v>
                </c:pt>
                <c:pt idx="108">
                  <c:v>915</c:v>
                </c:pt>
                <c:pt idx="109">
                  <c:v>1108</c:v>
                </c:pt>
                <c:pt idx="110">
                  <c:v>338</c:v>
                </c:pt>
                <c:pt idx="111">
                  <c:v>724</c:v>
                </c:pt>
                <c:pt idx="112">
                  <c:v>463</c:v>
                </c:pt>
                <c:pt idx="113">
                  <c:v>356</c:v>
                </c:pt>
                <c:pt idx="114">
                  <c:v>378</c:v>
                </c:pt>
                <c:pt idx="115">
                  <c:v>636</c:v>
                </c:pt>
                <c:pt idx="116">
                  <c:v>699</c:v>
                </c:pt>
                <c:pt idx="117">
                  <c:v>1279</c:v>
                </c:pt>
                <c:pt idx="118">
                  <c:v>1006</c:v>
                </c:pt>
                <c:pt idx="119">
                  <c:v>478</c:v>
                </c:pt>
                <c:pt idx="120">
                  <c:v>545</c:v>
                </c:pt>
                <c:pt idx="121">
                  <c:v>1005</c:v>
                </c:pt>
                <c:pt idx="122">
                  <c:v>765</c:v>
                </c:pt>
                <c:pt idx="123">
                  <c:v>564</c:v>
                </c:pt>
                <c:pt idx="124">
                  <c:v>496</c:v>
                </c:pt>
                <c:pt idx="125">
                  <c:v>1128</c:v>
                </c:pt>
                <c:pt idx="126">
                  <c:v>565</c:v>
                </c:pt>
                <c:pt idx="127">
                  <c:v>813</c:v>
                </c:pt>
                <c:pt idx="128">
                  <c:v>1301</c:v>
                </c:pt>
                <c:pt idx="129">
                  <c:v>436</c:v>
                </c:pt>
                <c:pt idx="130">
                  <c:v>978</c:v>
                </c:pt>
                <c:pt idx="131">
                  <c:v>1367</c:v>
                </c:pt>
                <c:pt idx="132">
                  <c:v>1337</c:v>
                </c:pt>
                <c:pt idx="133">
                  <c:v>1014</c:v>
                </c:pt>
                <c:pt idx="134">
                  <c:v>940</c:v>
                </c:pt>
                <c:pt idx="135">
                  <c:v>690</c:v>
                </c:pt>
                <c:pt idx="136">
                  <c:v>1335</c:v>
                </c:pt>
                <c:pt idx="137">
                  <c:v>1191</c:v>
                </c:pt>
                <c:pt idx="138">
                  <c:v>353</c:v>
                </c:pt>
                <c:pt idx="139">
                  <c:v>486</c:v>
                </c:pt>
                <c:pt idx="140">
                  <c:v>889</c:v>
                </c:pt>
                <c:pt idx="141">
                  <c:v>983</c:v>
                </c:pt>
                <c:pt idx="142">
                  <c:v>581</c:v>
                </c:pt>
                <c:pt idx="143">
                  <c:v>814</c:v>
                </c:pt>
                <c:pt idx="145">
                  <c:v>676</c:v>
                </c:pt>
                <c:pt idx="146">
                  <c:v>459</c:v>
                </c:pt>
                <c:pt idx="147">
                  <c:v>576</c:v>
                </c:pt>
                <c:pt idx="148">
                  <c:v>447</c:v>
                </c:pt>
                <c:pt idx="149">
                  <c:v>377</c:v>
                </c:pt>
                <c:pt idx="150">
                  <c:v>932</c:v>
                </c:pt>
                <c:pt idx="151">
                  <c:v>1356</c:v>
                </c:pt>
                <c:pt idx="152">
                  <c:v>1281</c:v>
                </c:pt>
                <c:pt idx="153">
                  <c:v>1041</c:v>
                </c:pt>
                <c:pt idx="154">
                  <c:v>1184</c:v>
                </c:pt>
                <c:pt idx="155">
                  <c:v>684</c:v>
                </c:pt>
                <c:pt idx="156">
                  <c:v>354</c:v>
                </c:pt>
                <c:pt idx="157">
                  <c:v>1126</c:v>
                </c:pt>
                <c:pt idx="158">
                  <c:v>569</c:v>
                </c:pt>
                <c:pt idx="159">
                  <c:v>730</c:v>
                </c:pt>
                <c:pt idx="160">
                  <c:v>578</c:v>
                </c:pt>
                <c:pt idx="161">
                  <c:v>935</c:v>
                </c:pt>
                <c:pt idx="162">
                  <c:v>698</c:v>
                </c:pt>
                <c:pt idx="163">
                  <c:v>325</c:v>
                </c:pt>
                <c:pt idx="164">
                  <c:v>994</c:v>
                </c:pt>
                <c:pt idx="165">
                  <c:v>320</c:v>
                </c:pt>
                <c:pt idx="166">
                  <c:v>544</c:v>
                </c:pt>
                <c:pt idx="167">
                  <c:v>520</c:v>
                </c:pt>
                <c:pt idx="168">
                  <c:v>485</c:v>
                </c:pt>
                <c:pt idx="169">
                  <c:v>1234</c:v>
                </c:pt>
                <c:pt idx="170">
                  <c:v>596</c:v>
                </c:pt>
                <c:pt idx="171">
                  <c:v>831</c:v>
                </c:pt>
                <c:pt idx="172">
                  <c:v>1033</c:v>
                </c:pt>
                <c:pt idx="173">
                  <c:v>805</c:v>
                </c:pt>
                <c:pt idx="174">
                  <c:v>1274</c:v>
                </c:pt>
                <c:pt idx="175">
                  <c:v>428</c:v>
                </c:pt>
                <c:pt idx="176">
                  <c:v>952</c:v>
                </c:pt>
                <c:pt idx="177">
                  <c:v>951</c:v>
                </c:pt>
                <c:pt idx="178">
                  <c:v>604</c:v>
                </c:pt>
                <c:pt idx="179">
                  <c:v>1139</c:v>
                </c:pt>
                <c:pt idx="180">
                  <c:v>567</c:v>
                </c:pt>
                <c:pt idx="181">
                  <c:v>1282</c:v>
                </c:pt>
                <c:pt idx="182">
                  <c:v>1387</c:v>
                </c:pt>
                <c:pt idx="183">
                  <c:v>667</c:v>
                </c:pt>
                <c:pt idx="184">
                  <c:v>499</c:v>
                </c:pt>
                <c:pt idx="185">
                  <c:v>523</c:v>
                </c:pt>
                <c:pt idx="186">
                  <c:v>896</c:v>
                </c:pt>
                <c:pt idx="187">
                  <c:v>702</c:v>
                </c:pt>
                <c:pt idx="188">
                  <c:v>749</c:v>
                </c:pt>
                <c:pt idx="189">
                  <c:v>333</c:v>
                </c:pt>
                <c:pt idx="190">
                  <c:v>647</c:v>
                </c:pt>
                <c:pt idx="191">
                  <c:v>839</c:v>
                </c:pt>
                <c:pt idx="192">
                  <c:v>960</c:v>
                </c:pt>
                <c:pt idx="193">
                  <c:v>1168</c:v>
                </c:pt>
                <c:pt idx="194">
                  <c:v>518</c:v>
                </c:pt>
                <c:pt idx="195">
                  <c:v>872</c:v>
                </c:pt>
                <c:pt idx="196">
                  <c:v>302</c:v>
                </c:pt>
                <c:pt idx="197">
                  <c:v>250</c:v>
                </c:pt>
                <c:pt idx="198">
                  <c:v>820</c:v>
                </c:pt>
                <c:pt idx="199">
                  <c:v>616</c:v>
                </c:pt>
              </c:numCache>
            </c:numRef>
          </c:val>
          <c:smooth val="0"/>
          <c:extLst>
            <c:ext xmlns:c16="http://schemas.microsoft.com/office/drawing/2014/chart" uri="{C3380CC4-5D6E-409C-BE32-E72D297353CC}">
              <c16:uniqueId val="{00000001-2363-4402-837F-F59074C688FB}"/>
            </c:ext>
          </c:extLst>
        </c:ser>
        <c:dLbls>
          <c:showLegendKey val="0"/>
          <c:showVal val="0"/>
          <c:showCatName val="0"/>
          <c:showSerName val="0"/>
          <c:showPercent val="0"/>
          <c:showBubbleSize val="0"/>
        </c:dLbls>
        <c:smooth val="0"/>
        <c:axId val="1124713264"/>
        <c:axId val="1511990640"/>
      </c:lineChart>
      <c:dateAx>
        <c:axId val="1124713264"/>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90640"/>
        <c:crosses val="autoZero"/>
        <c:auto val="1"/>
        <c:lblOffset val="100"/>
        <c:baseTimeUnit val="days"/>
      </c:dateAx>
      <c:valAx>
        <c:axId val="1511990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11</xdr:col>
      <xdr:colOff>114300</xdr:colOff>
      <xdr:row>9</xdr:row>
      <xdr:rowOff>9525</xdr:rowOff>
    </xdr:from>
    <xdr:ext cx="2638425" cy="1647826"/>
    <xdr:sp macro="" textlink="">
      <xdr:nvSpPr>
        <xdr:cNvPr id="2" name="TextBox 1">
          <a:extLst>
            <a:ext uri="{FF2B5EF4-FFF2-40B4-BE49-F238E27FC236}">
              <a16:creationId xmlns:a16="http://schemas.microsoft.com/office/drawing/2014/main" id="{4E0AF409-6707-4DD3-8DE0-D88112D6ABB5}"/>
            </a:ext>
          </a:extLst>
        </xdr:cNvPr>
        <xdr:cNvSpPr txBox="1"/>
      </xdr:nvSpPr>
      <xdr:spPr>
        <a:xfrm>
          <a:off x="14859000" y="1724025"/>
          <a:ext cx="2638425" cy="164782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Formula used for WEEKLY</a:t>
          </a:r>
          <a:r>
            <a:rPr lang="en-US" sz="1100" b="1" baseline="0"/>
            <a:t> GROWTH RATE</a:t>
          </a:r>
          <a:endParaRPr lang="en-US" sz="1100"/>
        </a:p>
        <a:p>
          <a:endParaRPr lang="en-US" sz="1100"/>
        </a:p>
        <a:p>
          <a:r>
            <a:rPr lang="en-US" sz="1100"/>
            <a:t>=(</a:t>
          </a:r>
          <a:r>
            <a:rPr lang="en-US" sz="1100">
              <a:solidFill>
                <a:srgbClr val="00B0F0"/>
              </a:solidFill>
            </a:rPr>
            <a:t>Current</a:t>
          </a:r>
          <a:r>
            <a:rPr lang="en-US" sz="1100" baseline="0">
              <a:solidFill>
                <a:srgbClr val="00B0F0"/>
              </a:solidFill>
            </a:rPr>
            <a:t> week Followers </a:t>
          </a:r>
          <a:r>
            <a:rPr lang="en-US" sz="1100" baseline="0"/>
            <a:t>- </a:t>
          </a:r>
          <a:r>
            <a:rPr lang="en-US" sz="1100" baseline="0">
              <a:solidFill>
                <a:srgbClr val="FF0000"/>
              </a:solidFill>
            </a:rPr>
            <a:t>Previous Week Followers </a:t>
          </a:r>
          <a:r>
            <a:rPr lang="en-US" sz="1100" baseline="0"/>
            <a:t>) / </a:t>
          </a:r>
          <a:r>
            <a:rPr lang="en-US" sz="1100" baseline="0">
              <a:solidFill>
                <a:srgbClr val="FF0000"/>
              </a:solidFill>
            </a:rPr>
            <a:t>Previous Week Followers</a:t>
          </a:r>
        </a:p>
        <a:p>
          <a:endParaRPr lang="en-US" sz="1100" baseline="0">
            <a:solidFill>
              <a:schemeClr val="accent6">
                <a:lumMod val="75000"/>
              </a:schemeClr>
            </a:solidFill>
          </a:endParaRPr>
        </a:p>
        <a:p>
          <a:endParaRPr lang="en-US" sz="1100" baseline="0">
            <a:solidFill>
              <a:schemeClr val="accent6">
                <a:lumMod val="75000"/>
              </a:schemeClr>
            </a:solidFill>
          </a:endParaRPr>
        </a:p>
        <a:p>
          <a:r>
            <a:rPr lang="en-US" sz="1100">
              <a:solidFill>
                <a:schemeClr val="tx1"/>
              </a:solidFill>
            </a:rPr>
            <a:t>=(</a:t>
          </a:r>
          <a:r>
            <a:rPr lang="en-US" sz="1100">
              <a:solidFill>
                <a:schemeClr val="accent6">
                  <a:lumMod val="75000"/>
                </a:schemeClr>
              </a:solidFill>
            </a:rPr>
            <a:t> </a:t>
          </a:r>
          <a:r>
            <a:rPr lang="en-US" sz="1100">
              <a:solidFill>
                <a:srgbClr val="00B0F0"/>
              </a:solidFill>
            </a:rPr>
            <a:t>[@[Total_Followers]] </a:t>
          </a:r>
          <a:r>
            <a:rPr lang="en-US" sz="1100">
              <a:solidFill>
                <a:schemeClr val="tx1"/>
              </a:solidFill>
            </a:rPr>
            <a:t>- </a:t>
          </a:r>
          <a:r>
            <a:rPr lang="en-US" sz="1100">
              <a:solidFill>
                <a:srgbClr val="FF0000"/>
              </a:solidFill>
            </a:rPr>
            <a:t>E2</a:t>
          </a:r>
          <a:r>
            <a:rPr lang="en-US" sz="1100">
              <a:solidFill>
                <a:schemeClr val="tx1"/>
              </a:solidFill>
            </a:rPr>
            <a:t>)</a:t>
          </a:r>
          <a:r>
            <a:rPr lang="en-US" sz="1100">
              <a:solidFill>
                <a:schemeClr val="accent6">
                  <a:lumMod val="75000"/>
                </a:schemeClr>
              </a:solidFill>
            </a:rPr>
            <a:t> </a:t>
          </a:r>
          <a:r>
            <a:rPr lang="en-US" sz="1100">
              <a:solidFill>
                <a:schemeClr val="tx1"/>
              </a:solidFill>
            </a:rPr>
            <a:t>/ </a:t>
          </a:r>
          <a:r>
            <a:rPr lang="en-US" sz="1100">
              <a:solidFill>
                <a:srgbClr val="FF0000"/>
              </a:solidFill>
            </a:rPr>
            <a:t>E2</a:t>
          </a:r>
        </a:p>
      </xdr:txBody>
    </xdr:sp>
    <xdr:clientData/>
  </xdr:oneCellAnchor>
  <xdr:twoCellAnchor>
    <xdr:from>
      <xdr:col>8</xdr:col>
      <xdr:colOff>638176</xdr:colOff>
      <xdr:row>1</xdr:row>
      <xdr:rowOff>123825</xdr:rowOff>
    </xdr:from>
    <xdr:to>
      <xdr:col>11</xdr:col>
      <xdr:colOff>333375</xdr:colOff>
      <xdr:row>10</xdr:row>
      <xdr:rowOff>171450</xdr:rowOff>
    </xdr:to>
    <xdr:cxnSp macro="">
      <xdr:nvCxnSpPr>
        <xdr:cNvPr id="4" name="Straight Arrow Connector 3">
          <a:extLst>
            <a:ext uri="{FF2B5EF4-FFF2-40B4-BE49-F238E27FC236}">
              <a16:creationId xmlns:a16="http://schemas.microsoft.com/office/drawing/2014/main" id="{B72A3FD5-A4C6-4F8C-AF46-F0D37E72115B}"/>
            </a:ext>
          </a:extLst>
        </xdr:cNvPr>
        <xdr:cNvCxnSpPr/>
      </xdr:nvCxnSpPr>
      <xdr:spPr>
        <a:xfrm flipH="1" flipV="1">
          <a:off x="11306176" y="314325"/>
          <a:ext cx="3771899" cy="176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2</xdr:row>
      <xdr:rowOff>38100</xdr:rowOff>
    </xdr:from>
    <xdr:to>
      <xdr:col>14</xdr:col>
      <xdr:colOff>285750</xdr:colOff>
      <xdr:row>37</xdr:row>
      <xdr:rowOff>9525</xdr:rowOff>
    </xdr:to>
    <xdr:sp macro="" textlink="">
      <xdr:nvSpPr>
        <xdr:cNvPr id="2" name="TextBox 1">
          <a:extLst>
            <a:ext uri="{FF2B5EF4-FFF2-40B4-BE49-F238E27FC236}">
              <a16:creationId xmlns:a16="http://schemas.microsoft.com/office/drawing/2014/main" id="{1C12A40C-B60E-4E98-B821-B9F312621ACE}"/>
            </a:ext>
          </a:extLst>
        </xdr:cNvPr>
        <xdr:cNvSpPr txBox="1"/>
      </xdr:nvSpPr>
      <xdr:spPr>
        <a:xfrm>
          <a:off x="819150" y="419100"/>
          <a:ext cx="8001000" cy="66389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B0F0"/>
              </a:solidFill>
            </a:rPr>
            <a:t>Tasks to be Performed: </a:t>
          </a:r>
        </a:p>
        <a:p>
          <a:endParaRPr lang="en-US" sz="2000" b="1">
            <a:solidFill>
              <a:srgbClr val="00B0F0"/>
            </a:solidFill>
            <a:latin typeface="+mj-lt"/>
          </a:endParaRPr>
        </a:p>
        <a:p>
          <a:r>
            <a:rPr lang="en-US" sz="1600" b="1">
              <a:solidFill>
                <a:srgbClr val="FF0000"/>
              </a:solidFill>
            </a:rPr>
            <a:t>Task 1: Data Preprocessing and Cleaning </a:t>
          </a:r>
        </a:p>
        <a:p>
          <a:r>
            <a:rPr lang="en-US" sz="1600"/>
            <a:t>● Eliminate duplicate post entries </a:t>
          </a:r>
        </a:p>
        <a:p>
          <a:r>
            <a:rPr lang="en-US" sz="1600"/>
            <a:t>● Standardize date and platform formats </a:t>
          </a:r>
        </a:p>
        <a:p>
          <a:r>
            <a:rPr lang="en-US" sz="1600"/>
            <a:t>● Ensure numeric columns (likes, impressions, ad spend, downloads) are correctly formatted </a:t>
          </a:r>
        </a:p>
        <a:p>
          <a:r>
            <a:rPr lang="en-US" sz="1600"/>
            <a:t>● Split multi-hashtag columns into separate entries </a:t>
          </a:r>
        </a:p>
        <a:p>
          <a:endParaRPr lang="en-US" sz="1600" b="1">
            <a:solidFill>
              <a:srgbClr val="00B0F0"/>
            </a:solidFill>
            <a:latin typeface="+mj-lt"/>
          </a:endParaRPr>
        </a:p>
        <a:p>
          <a:r>
            <a:rPr lang="en-US" sz="1600" b="1">
              <a:solidFill>
                <a:srgbClr val="FF0000"/>
              </a:solidFill>
            </a:rPr>
            <a:t>Task 2: Engagement Analysis Use the “Posts” sheet to: </a:t>
          </a:r>
        </a:p>
        <a:p>
          <a:r>
            <a:rPr lang="en-US" sz="1600"/>
            <a:t>● Calculate Engagement Rate per platform: (Likes + Comments + Shares) / Impressions</a:t>
          </a:r>
        </a:p>
        <a:p>
          <a:r>
            <a:rPr lang="en-US" sz="1600"/>
            <a:t> ● Identify Top 10 posts by engagement rate</a:t>
          </a:r>
        </a:p>
        <a:p>
          <a:r>
            <a:rPr lang="en-US" sz="1600"/>
            <a:t> ● Create Pivot Table showing: </a:t>
          </a:r>
        </a:p>
        <a:p>
          <a:r>
            <a:rPr lang="en-US" sz="1600"/>
            <a:t>● Total Likes, Shares, Comments by Content Type (e.g., Text, Story) and Platform </a:t>
          </a:r>
        </a:p>
        <a:p>
          <a:r>
            <a:rPr lang="en-US" sz="1600"/>
            <a:t>● Average Clicks per post by Hashtag </a:t>
          </a:r>
        </a:p>
        <a:p>
          <a:r>
            <a:rPr lang="en-US" sz="1600"/>
            <a:t>● Highlight Top-performing hashtags using ranking formulas </a:t>
          </a:r>
        </a:p>
        <a:p>
          <a:endParaRPr lang="en-US" sz="1600" b="1">
            <a:solidFill>
              <a:srgbClr val="00B0F0"/>
            </a:solidFill>
            <a:latin typeface="+mj-lt"/>
          </a:endParaRPr>
        </a:p>
        <a:p>
          <a:r>
            <a:rPr lang="en-US" sz="1600" b="1">
              <a:solidFill>
                <a:srgbClr val="FF0000"/>
              </a:solidFill>
            </a:rPr>
            <a:t>Task 3: Platform Performance Analysis </a:t>
          </a:r>
        </a:p>
        <a:p>
          <a:r>
            <a:rPr lang="en-US" sz="1600"/>
            <a:t>● Determine which platform yields highest engagement </a:t>
          </a:r>
        </a:p>
        <a:p>
          <a:r>
            <a:rPr lang="en-US" sz="1600"/>
            <a:t>● Compare weekly follower growth rates across platforms</a:t>
          </a:r>
        </a:p>
        <a:p>
          <a:r>
            <a:rPr lang="en-US" sz="1600"/>
            <a:t>● Visualize Ad Spend vs. Engagement using charts </a:t>
          </a:r>
        </a:p>
        <a:p>
          <a:r>
            <a:rPr lang="en-US" sz="1600"/>
            <a:t>● Recommend focusing on 1–2 platforms or continuing multi-platform justify with data</a:t>
          </a:r>
        </a:p>
        <a:p>
          <a:endParaRPr lang="en-US" sz="1600" b="1">
            <a:solidFill>
              <a:srgbClr val="00B0F0"/>
            </a:solidFill>
            <a:latin typeface="+mj-lt"/>
          </a:endParaRPr>
        </a:p>
        <a:p>
          <a:r>
            <a:rPr lang="en-US" sz="1600" b="1">
              <a:solidFill>
                <a:srgbClr val="FF0000"/>
              </a:solidFill>
            </a:rPr>
            <a:t>Task 4: Hashtag &amp; Content Strategy Identify: </a:t>
          </a:r>
        </a:p>
        <a:p>
          <a:r>
            <a:rPr lang="en-US" sz="1600"/>
            <a:t>● Most frequent hashtags and average engagement for each</a:t>
          </a:r>
        </a:p>
        <a:p>
          <a:r>
            <a:rPr lang="en-US" sz="1600"/>
            <a:t> ● Compare content types (Text, Story,Reel) performance across platforms</a:t>
          </a:r>
        </a:p>
        <a:p>
          <a:r>
            <a:rPr lang="en-US" sz="1600"/>
            <a:t> ● Recommend optimal content type-platform combinations </a:t>
          </a:r>
          <a:endParaRPr lang="en-US" sz="1600" b="1">
            <a:solidFill>
              <a:srgbClr val="00B0F0"/>
            </a:solidFill>
            <a:latin typeface="+mj-lt"/>
          </a:endParaRPr>
        </a:p>
      </xdr:txBody>
    </xdr:sp>
    <xdr:clientData/>
  </xdr:twoCellAnchor>
  <xdr:twoCellAnchor>
    <xdr:from>
      <xdr:col>14</xdr:col>
      <xdr:colOff>466726</xdr:colOff>
      <xdr:row>2</xdr:row>
      <xdr:rowOff>38100</xdr:rowOff>
    </xdr:from>
    <xdr:to>
      <xdr:col>28</xdr:col>
      <xdr:colOff>390526</xdr:colOff>
      <xdr:row>36</xdr:row>
      <xdr:rowOff>171450</xdr:rowOff>
    </xdr:to>
    <xdr:sp macro="" textlink="">
      <xdr:nvSpPr>
        <xdr:cNvPr id="3" name="TextBox 2">
          <a:extLst>
            <a:ext uri="{FF2B5EF4-FFF2-40B4-BE49-F238E27FC236}">
              <a16:creationId xmlns:a16="http://schemas.microsoft.com/office/drawing/2014/main" id="{B0F80E8C-19D3-41EA-B706-FEA425E25EB4}"/>
            </a:ext>
          </a:extLst>
        </xdr:cNvPr>
        <xdr:cNvSpPr txBox="1"/>
      </xdr:nvSpPr>
      <xdr:spPr>
        <a:xfrm>
          <a:off x="9001126" y="419100"/>
          <a:ext cx="8458200" cy="66103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Task 5: Campaign Effectiveness </a:t>
          </a:r>
        </a:p>
        <a:p>
          <a:r>
            <a:rPr lang="en-US" sz="1600"/>
            <a:t>● Compute: ○ Total &amp; average impressions, likes, clicks per campaign ○ Engagement uplift during vs. before campaign </a:t>
          </a:r>
        </a:p>
        <a:p>
          <a:r>
            <a:rPr lang="en-US" sz="1600"/>
            <a:t>● Evaluate: ○ Campaign with highest ROI (engagement/ad spend) ○ Campaign with strongest follower or app download growth </a:t>
          </a:r>
        </a:p>
        <a:p>
          <a:endParaRPr lang="en-US" sz="1600"/>
        </a:p>
        <a:p>
          <a:r>
            <a:rPr lang="en-US" sz="1600" b="1">
              <a:solidFill>
                <a:srgbClr val="FF0000"/>
              </a:solidFill>
            </a:rPr>
            <a:t>Task 6: Follower Retention &amp; Loyalty </a:t>
          </a:r>
        </a:p>
        <a:p>
          <a:r>
            <a:rPr lang="en-US" sz="1600"/>
            <a:t> ● Identify week with highest net follower gain </a:t>
          </a:r>
        </a:p>
        <a:p>
          <a:r>
            <a:rPr lang="en-US" sz="1600"/>
            <a:t>● Moving average chart to analyze follower trends</a:t>
          </a:r>
        </a:p>
        <a:p>
          <a:r>
            <a:rPr lang="en-US" sz="1600"/>
            <a:t> ● Correlation between Ad Spend vs. Follower Growth/App Downloads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138908</xdr:colOff>
      <xdr:row>6</xdr:row>
      <xdr:rowOff>19844</xdr:rowOff>
    </xdr:from>
    <xdr:to>
      <xdr:col>16</xdr:col>
      <xdr:colOff>128984</xdr:colOff>
      <xdr:row>25</xdr:row>
      <xdr:rowOff>119062</xdr:rowOff>
    </xdr:to>
    <xdr:sp macro="" textlink="">
      <xdr:nvSpPr>
        <xdr:cNvPr id="2" name="TextBox 1">
          <a:extLst>
            <a:ext uri="{FF2B5EF4-FFF2-40B4-BE49-F238E27FC236}">
              <a16:creationId xmlns:a16="http://schemas.microsoft.com/office/drawing/2014/main" id="{102BAA09-296C-4871-933E-43C6468F7958}"/>
            </a:ext>
          </a:extLst>
        </xdr:cNvPr>
        <xdr:cNvSpPr txBox="1"/>
      </xdr:nvSpPr>
      <xdr:spPr>
        <a:xfrm>
          <a:off x="18375314" y="1150938"/>
          <a:ext cx="2738436" cy="3681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a:p>
          <a:r>
            <a:rPr lang="en-US" sz="1800" b="1">
              <a:solidFill>
                <a:srgbClr val="00B0F0"/>
              </a:solidFill>
            </a:rPr>
            <a:t>TASK PERFORMED</a:t>
          </a:r>
        </a:p>
        <a:p>
          <a:endParaRPr lang="en-US"/>
        </a:p>
        <a:p>
          <a:r>
            <a:rPr lang="en-US" sz="1400"/>
            <a:t>● Eliminate duplicate post entries</a:t>
          </a:r>
        </a:p>
        <a:p>
          <a:endParaRPr lang="en-US" sz="1400"/>
        </a:p>
        <a:p>
          <a:r>
            <a:rPr lang="en-US" sz="1400"/>
            <a:t> ● Standardize date and platform formats </a:t>
          </a:r>
        </a:p>
        <a:p>
          <a:endParaRPr lang="en-US" sz="1400"/>
        </a:p>
        <a:p>
          <a:r>
            <a:rPr lang="en-US" sz="1400"/>
            <a:t>● Ensure numeric columns (likes, impressions, ad spend, downloads) are correctly formatted </a:t>
          </a:r>
        </a:p>
        <a:p>
          <a:endParaRPr lang="en-US" sz="1400"/>
        </a:p>
        <a:p>
          <a:r>
            <a:rPr lang="en-US" sz="1400"/>
            <a:t>● Split multi-hashtag columns into separate entries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581025</xdr:colOff>
      <xdr:row>19</xdr:row>
      <xdr:rowOff>190500</xdr:rowOff>
    </xdr:from>
    <xdr:to>
      <xdr:col>17</xdr:col>
      <xdr:colOff>267759</xdr:colOff>
      <xdr:row>37</xdr:row>
      <xdr:rowOff>180975</xdr:rowOff>
    </xdr:to>
    <xdr:sp macro="" textlink="">
      <xdr:nvSpPr>
        <xdr:cNvPr id="3" name="TextBox 2">
          <a:extLst>
            <a:ext uri="{FF2B5EF4-FFF2-40B4-BE49-F238E27FC236}">
              <a16:creationId xmlns:a16="http://schemas.microsoft.com/office/drawing/2014/main" id="{F206E4A5-279D-498F-9973-0CAEEA99000E}"/>
            </a:ext>
          </a:extLst>
        </xdr:cNvPr>
        <xdr:cNvSpPr txBox="1"/>
      </xdr:nvSpPr>
      <xdr:spPr>
        <a:xfrm>
          <a:off x="11363325" y="4200525"/>
          <a:ext cx="7020984" cy="3571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Use the “Posts” sheet to:</a:t>
          </a:r>
        </a:p>
        <a:p>
          <a:endParaRPr lang="en-US"/>
        </a:p>
        <a:p>
          <a:r>
            <a:rPr lang="en-US" sz="1600"/>
            <a:t>● Calculate Engagement Rate per platform: (Likes + Comments + Shares) / Impressions</a:t>
          </a:r>
        </a:p>
        <a:p>
          <a:endParaRPr lang="en-US" sz="1600"/>
        </a:p>
        <a:p>
          <a:r>
            <a:rPr lang="en-US" sz="1600"/>
            <a:t>● Create Pivot Table showing:</a:t>
          </a:r>
        </a:p>
        <a:p>
          <a:r>
            <a:rPr lang="en-US" sz="1600"/>
            <a:t> </a:t>
          </a:r>
        </a:p>
        <a:p>
          <a:r>
            <a:rPr lang="en-US" sz="1600" baseline="0"/>
            <a:t>          </a:t>
          </a:r>
          <a:r>
            <a:rPr lang="en-US" sz="1600"/>
            <a:t>● Total Likes, Shares, Comments by Content Type (e.g.,Text, Story and</a:t>
          </a:r>
          <a:r>
            <a:rPr lang="en-US" sz="1600" baseline="0"/>
            <a:t>   </a:t>
          </a:r>
        </a:p>
        <a:p>
          <a:r>
            <a:rPr lang="en-US" sz="1600" baseline="0"/>
            <a:t>              </a:t>
          </a:r>
          <a:r>
            <a:rPr lang="en-US" sz="1600"/>
            <a:t>Platform )</a:t>
          </a:r>
        </a:p>
        <a:p>
          <a:r>
            <a:rPr lang="en-US" sz="1600"/>
            <a:t> </a:t>
          </a:r>
          <a:r>
            <a:rPr lang="en-US" sz="1600" baseline="0"/>
            <a:t>         </a:t>
          </a:r>
          <a:r>
            <a:rPr lang="en-US" sz="1600"/>
            <a:t>● Average Clicks per post by Hashtag</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rgbClr val="000000"/>
              </a:solidFill>
              <a:effectLst/>
              <a:uLnTx/>
              <a:uFillTx/>
              <a:latin typeface="+mn-lt"/>
              <a:cs typeface="+mn-cs"/>
            </a:rPr>
            <a:t>● Identify Top 10 posts by engagement rate </a:t>
          </a:r>
        </a:p>
        <a:p>
          <a:endParaRPr lang="en-US" sz="1600"/>
        </a:p>
        <a:p>
          <a:r>
            <a:rPr lang="en-US" sz="1600">
              <a:solidFill>
                <a:schemeClr val="tx1"/>
              </a:solidFill>
            </a:rPr>
            <a:t>● Highlight Top-performing hashtags using ranking formulas</a:t>
          </a:r>
        </a:p>
      </xdr:txBody>
    </xdr:sp>
    <xdr:clientData/>
  </xdr:twoCellAnchor>
  <xdr:twoCellAnchor>
    <xdr:from>
      <xdr:col>5</xdr:col>
      <xdr:colOff>95250</xdr:colOff>
      <xdr:row>41</xdr:row>
      <xdr:rowOff>47625</xdr:rowOff>
    </xdr:from>
    <xdr:to>
      <xdr:col>8</xdr:col>
      <xdr:colOff>1047750</xdr:colOff>
      <xdr:row>49</xdr:row>
      <xdr:rowOff>85725</xdr:rowOff>
    </xdr:to>
    <xdr:sp macro="" textlink="">
      <xdr:nvSpPr>
        <xdr:cNvPr id="2" name="TextBox 1">
          <a:extLst>
            <a:ext uri="{FF2B5EF4-FFF2-40B4-BE49-F238E27FC236}">
              <a16:creationId xmlns:a16="http://schemas.microsoft.com/office/drawing/2014/main" id="{9A94178E-70F6-42B5-B1AD-00B85FC82FF7}"/>
            </a:ext>
          </a:extLst>
        </xdr:cNvPr>
        <xdr:cNvSpPr txBox="1"/>
      </xdr:nvSpPr>
      <xdr:spPr>
        <a:xfrm>
          <a:off x="4162425" y="12239625"/>
          <a:ext cx="472440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Formula</a:t>
          </a:r>
          <a:r>
            <a:rPr lang="en-US" sz="1400" b="1" baseline="0">
              <a:solidFill>
                <a:srgbClr val="00B0F0"/>
              </a:solidFill>
            </a:rPr>
            <a:t> Used</a:t>
          </a:r>
          <a:endParaRPr lang="en-US" sz="1400" b="1">
            <a:solidFill>
              <a:srgbClr val="00B0F0"/>
            </a:solidFill>
          </a:endParaRPr>
        </a:p>
        <a:p>
          <a:endParaRPr lang="en-US" sz="1100"/>
        </a:p>
        <a:p>
          <a:r>
            <a:rPr lang="en-US" sz="1100"/>
            <a:t>=AVERAGE( FILTER( Table1__3[Clicks], ( (Table1__3[Hashtags Used.1] = </a:t>
          </a:r>
          <a:r>
            <a:rPr lang="en-US" sz="1100">
              <a:solidFill>
                <a:srgbClr val="00B0F0"/>
              </a:solidFill>
            </a:rPr>
            <a:t>G37</a:t>
          </a:r>
          <a:r>
            <a:rPr lang="en-US" sz="1100"/>
            <a:t>) + (Table1__3[Hashtags Used.2]= </a:t>
          </a:r>
          <a:r>
            <a:rPr lang="en-US" sz="1100">
              <a:solidFill>
                <a:srgbClr val="00B0F0"/>
              </a:solidFill>
            </a:rPr>
            <a:t>G37</a:t>
          </a:r>
          <a:r>
            <a:rPr lang="en-US" sz="1100"/>
            <a:t>) ) &gt; 0 ) )</a:t>
          </a:r>
        </a:p>
      </xdr:txBody>
    </xdr:sp>
    <xdr:clientData/>
  </xdr:twoCellAnchor>
  <xdr:twoCellAnchor>
    <xdr:from>
      <xdr:col>11</xdr:col>
      <xdr:colOff>609599</xdr:colOff>
      <xdr:row>53</xdr:row>
      <xdr:rowOff>47625</xdr:rowOff>
    </xdr:from>
    <xdr:to>
      <xdr:col>15</xdr:col>
      <xdr:colOff>885825</xdr:colOff>
      <xdr:row>66</xdr:row>
      <xdr:rowOff>180975</xdr:rowOff>
    </xdr:to>
    <xdr:sp macro="" textlink="">
      <xdr:nvSpPr>
        <xdr:cNvPr id="4" name="TextBox 3">
          <a:extLst>
            <a:ext uri="{FF2B5EF4-FFF2-40B4-BE49-F238E27FC236}">
              <a16:creationId xmlns:a16="http://schemas.microsoft.com/office/drawing/2014/main" id="{29058585-541B-4445-9869-B2F6E9A9E6DA}"/>
            </a:ext>
          </a:extLst>
        </xdr:cNvPr>
        <xdr:cNvSpPr txBox="1"/>
      </xdr:nvSpPr>
      <xdr:spPr>
        <a:xfrm>
          <a:off x="12001499" y="10715625"/>
          <a:ext cx="4581526" cy="260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Formula used</a:t>
          </a:r>
        </a:p>
        <a:p>
          <a:r>
            <a:rPr lang="en-US" sz="1400" b="0">
              <a:solidFill>
                <a:schemeClr val="tx1"/>
              </a:solidFill>
            </a:rPr>
            <a:t>•For</a:t>
          </a:r>
          <a:r>
            <a:rPr lang="en-US" sz="1400" b="0" baseline="0">
              <a:solidFill>
                <a:schemeClr val="tx1"/>
              </a:solidFill>
            </a:rPr>
            <a:t> rank:</a:t>
          </a:r>
        </a:p>
        <a:p>
          <a:r>
            <a:rPr lang="en-US" sz="1200" b="0">
              <a:solidFill>
                <a:schemeClr val="tx1"/>
              </a:solidFill>
            </a:rPr>
            <a:t>   =RANK.EQ(</a:t>
          </a:r>
          <a:r>
            <a:rPr lang="en-US" sz="1200" b="0">
              <a:solidFill>
                <a:srgbClr val="00B0F0"/>
              </a:solidFill>
            </a:rPr>
            <a:t>O49</a:t>
          </a:r>
          <a:r>
            <a:rPr lang="en-US" sz="1200" b="0">
              <a:solidFill>
                <a:schemeClr val="tx1"/>
              </a:solidFill>
            </a:rPr>
            <a:t>, </a:t>
          </a:r>
          <a:r>
            <a:rPr lang="en-US" sz="1200" b="0">
              <a:solidFill>
                <a:srgbClr val="FF0000"/>
              </a:solidFill>
            </a:rPr>
            <a:t>$O$49:$O$53</a:t>
          </a:r>
          <a:r>
            <a:rPr lang="en-US" sz="1200" b="0">
              <a:solidFill>
                <a:schemeClr val="tx1"/>
              </a:solidFill>
            </a:rPr>
            <a:t>, 0)</a:t>
          </a:r>
        </a:p>
        <a:p>
          <a:endParaRPr lang="en-US" sz="1400" b="0">
            <a:solidFill>
              <a:schemeClr val="tx1"/>
            </a:solidFill>
          </a:endParaRPr>
        </a:p>
        <a:p>
          <a:r>
            <a:rPr lang="en-US" sz="1400" b="0">
              <a:solidFill>
                <a:schemeClr val="tx1"/>
              </a:solidFill>
            </a:rPr>
            <a:t>•For highlighting top performing hashtags:</a:t>
          </a:r>
        </a:p>
        <a:p>
          <a:r>
            <a:rPr lang="en-US" sz="1200" b="0">
              <a:solidFill>
                <a:schemeClr val="tx1"/>
              </a:solidFill>
            </a:rPr>
            <a:t>   =$M49&lt;=3</a:t>
          </a:r>
        </a:p>
        <a:p>
          <a:endParaRPr lang="en-US" sz="1400" b="0">
            <a:solidFill>
              <a:schemeClr val="tx1"/>
            </a:solidFill>
          </a:endParaRPr>
        </a:p>
        <a:p>
          <a:r>
            <a:rPr lang="en-US" sz="1400" b="0">
              <a:solidFill>
                <a:schemeClr val="tx1"/>
              </a:solidFill>
            </a:rPr>
            <a:t>•For average reach:</a:t>
          </a:r>
        </a:p>
        <a:p>
          <a:r>
            <a:rPr lang="en-US" sz="1100" b="0">
              <a:solidFill>
                <a:schemeClr val="tx1"/>
              </a:solidFill>
            </a:rPr>
            <a:t>   =AVERAGE( FILTER( Table1__3[Reach], ( (Table1__3[Hashtags Used.1] =      </a:t>
          </a:r>
        </a:p>
        <a:p>
          <a:r>
            <a:rPr lang="en-US" sz="1100" b="0">
              <a:solidFill>
                <a:schemeClr val="tx1"/>
              </a:solidFill>
            </a:rPr>
            <a:t>   </a:t>
          </a:r>
          <a:r>
            <a:rPr lang="en-US" sz="1100" b="0">
              <a:solidFill>
                <a:srgbClr val="00B0F0"/>
              </a:solidFill>
            </a:rPr>
            <a:t>TASK2!N49</a:t>
          </a:r>
          <a:r>
            <a:rPr lang="en-US" sz="1100" b="0">
              <a:solidFill>
                <a:schemeClr val="tx1"/>
              </a:solidFill>
            </a:rPr>
            <a:t>) + (Table1__3[Hashtags Used.2]= </a:t>
          </a:r>
          <a:r>
            <a:rPr lang="en-US" sz="1100" b="0">
              <a:solidFill>
                <a:srgbClr val="00B0F0"/>
              </a:solidFill>
            </a:rPr>
            <a:t>TASK2!N49</a:t>
          </a:r>
          <a:r>
            <a:rPr lang="en-US" sz="1100" b="0">
              <a:solidFill>
                <a:schemeClr val="tx1"/>
              </a:solidFill>
            </a:rPr>
            <a:t>) ) &gt; 0 ) )  </a:t>
          </a:r>
        </a:p>
      </xdr:txBody>
    </xdr:sp>
    <xdr:clientData/>
  </xdr:twoCellAnchor>
  <xdr:twoCellAnchor>
    <xdr:from>
      <xdr:col>7</xdr:col>
      <xdr:colOff>1571625</xdr:colOff>
      <xdr:row>36</xdr:row>
      <xdr:rowOff>123825</xdr:rowOff>
    </xdr:from>
    <xdr:to>
      <xdr:col>8</xdr:col>
      <xdr:colOff>600075</xdr:colOff>
      <xdr:row>43</xdr:row>
      <xdr:rowOff>114300</xdr:rowOff>
    </xdr:to>
    <xdr:cxnSp macro="">
      <xdr:nvCxnSpPr>
        <xdr:cNvPr id="6" name="Straight Arrow Connector 5">
          <a:extLst>
            <a:ext uri="{FF2B5EF4-FFF2-40B4-BE49-F238E27FC236}">
              <a16:creationId xmlns:a16="http://schemas.microsoft.com/office/drawing/2014/main" id="{64F5D7BE-5D19-483F-9188-E5984B829EA9}"/>
            </a:ext>
          </a:extLst>
        </xdr:cNvPr>
        <xdr:cNvCxnSpPr/>
      </xdr:nvCxnSpPr>
      <xdr:spPr>
        <a:xfrm flipH="1" flipV="1">
          <a:off x="7810500" y="7496175"/>
          <a:ext cx="628650" cy="1323975"/>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523875</xdr:colOff>
      <xdr:row>25</xdr:row>
      <xdr:rowOff>14287</xdr:rowOff>
    </xdr:from>
    <xdr:to>
      <xdr:col>7</xdr:col>
      <xdr:colOff>19050</xdr:colOff>
      <xdr:row>39</xdr:row>
      <xdr:rowOff>90487</xdr:rowOff>
    </xdr:to>
    <xdr:graphicFrame macro="">
      <xdr:nvGraphicFramePr>
        <xdr:cNvPr id="13" name="Chart 12">
          <a:extLst>
            <a:ext uri="{FF2B5EF4-FFF2-40B4-BE49-F238E27FC236}">
              <a16:creationId xmlns:a16="http://schemas.microsoft.com/office/drawing/2014/main" id="{44E3D11D-A709-4D32-A3B1-2CD5724FF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57</xdr:row>
      <xdr:rowOff>157162</xdr:rowOff>
    </xdr:from>
    <xdr:to>
      <xdr:col>4</xdr:col>
      <xdr:colOff>942975</xdr:colOff>
      <xdr:row>71</xdr:row>
      <xdr:rowOff>42862</xdr:rowOff>
    </xdr:to>
    <xdr:graphicFrame macro="">
      <xdr:nvGraphicFramePr>
        <xdr:cNvPr id="4" name="Chart 3">
          <a:extLst>
            <a:ext uri="{FF2B5EF4-FFF2-40B4-BE49-F238E27FC236}">
              <a16:creationId xmlns:a16="http://schemas.microsoft.com/office/drawing/2014/main" id="{265F1ECD-F91B-4473-B573-BA03BC032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952500</xdr:colOff>
      <xdr:row>56</xdr:row>
      <xdr:rowOff>9525</xdr:rowOff>
    </xdr:from>
    <xdr:to>
      <xdr:col>8</xdr:col>
      <xdr:colOff>85725</xdr:colOff>
      <xdr:row>73</xdr:row>
      <xdr:rowOff>161925</xdr:rowOff>
    </xdr:to>
    <xdr:sp macro="" textlink="">
      <xdr:nvSpPr>
        <xdr:cNvPr id="3" name="TextBox 2">
          <a:extLst>
            <a:ext uri="{FF2B5EF4-FFF2-40B4-BE49-F238E27FC236}">
              <a16:creationId xmlns:a16="http://schemas.microsoft.com/office/drawing/2014/main" id="{3A4B8FEA-0366-40E9-9BEE-95B6005CD2E4}"/>
            </a:ext>
          </a:extLst>
        </xdr:cNvPr>
        <xdr:cNvSpPr txBox="1"/>
      </xdr:nvSpPr>
      <xdr:spPr>
        <a:xfrm>
          <a:off x="4914900" y="11010900"/>
          <a:ext cx="3209925"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t>
          </a:r>
          <a:r>
            <a:rPr lang="en-US" sz="1200" b="1" baseline="0"/>
            <a:t> </a:t>
          </a:r>
          <a:r>
            <a:rPr lang="en-US" sz="1200" b="1"/>
            <a:t>Ad Spend Total</a:t>
          </a:r>
          <a:r>
            <a:rPr lang="en-US" sz="1200"/>
            <a:t>: </a:t>
          </a:r>
          <a:r>
            <a:rPr lang="en-US" sz="1200" b="1">
              <a:solidFill>
                <a:srgbClr val="FF0000"/>
              </a:solidFill>
            </a:rPr>
            <a:t>₹3,215,928 </a:t>
          </a:r>
        </a:p>
        <a:p>
          <a:endParaRPr lang="en-US" sz="1200"/>
        </a:p>
        <a:p>
          <a:r>
            <a:rPr lang="en-US" sz="1200" b="1"/>
            <a:t>• Engagement Rate Total</a:t>
          </a:r>
          <a:r>
            <a:rPr lang="en-US" sz="1200"/>
            <a:t>: </a:t>
          </a:r>
          <a:r>
            <a:rPr lang="en-US" sz="1200" b="1" baseline="0">
              <a:solidFill>
                <a:srgbClr val="FF0000"/>
              </a:solidFill>
            </a:rPr>
            <a:t>top 2  </a:t>
          </a:r>
        </a:p>
        <a:p>
          <a:r>
            <a:rPr lang="en-US" sz="1200" b="1" baseline="0">
              <a:solidFill>
                <a:srgbClr val="FF0000"/>
              </a:solidFill>
            </a:rPr>
            <a:t>   platform </a:t>
          </a:r>
          <a:r>
            <a:rPr lang="en-US" sz="1200" b="0" baseline="0">
              <a:solidFill>
                <a:schemeClr val="tx1"/>
              </a:solidFill>
            </a:rPr>
            <a:t>is only </a:t>
          </a:r>
          <a:r>
            <a:rPr lang="en-US" sz="1200" b="1">
              <a:solidFill>
                <a:srgbClr val="FF0000"/>
              </a:solidFill>
            </a:rPr>
            <a:t>Twitter + Youtube</a:t>
          </a:r>
          <a:r>
            <a:rPr lang="en-US" sz="1200" b="1" baseline="0">
              <a:solidFill>
                <a:srgbClr val="FF0000"/>
              </a:solidFill>
            </a:rPr>
            <a:t> </a:t>
          </a:r>
          <a:r>
            <a:rPr lang="en-US" sz="1200" b="1">
              <a:solidFill>
                <a:srgbClr val="FF0000"/>
              </a:solidFill>
            </a:rPr>
            <a:t>= 67.65</a:t>
          </a:r>
          <a:r>
            <a:rPr lang="en-US" sz="1200" b="1" baseline="0">
              <a:solidFill>
                <a:srgbClr val="FF0000"/>
              </a:solidFill>
            </a:rPr>
            <a:t> </a:t>
          </a:r>
          <a:r>
            <a:rPr lang="en-US" sz="1200" b="1">
              <a:solidFill>
                <a:srgbClr val="FF0000"/>
              </a:solidFill>
            </a:rPr>
            <a:t>% </a:t>
          </a:r>
        </a:p>
        <a:p>
          <a:r>
            <a:rPr lang="en-US" sz="1200" baseline="0"/>
            <a:t>   </a:t>
          </a:r>
          <a:r>
            <a:rPr lang="en-US" sz="1200"/>
            <a:t>of this engagement</a:t>
          </a:r>
          <a:r>
            <a:rPr lang="en-US" sz="1200" baseline="0"/>
            <a:t> </a:t>
          </a:r>
          <a:r>
            <a:rPr lang="en-US" sz="1200"/>
            <a:t>rate so we canont afford to </a:t>
          </a:r>
          <a:r>
            <a:rPr lang="en-US" sz="1200" baseline="0"/>
            <a:t> </a:t>
          </a:r>
        </a:p>
        <a:p>
          <a:r>
            <a:rPr lang="en-US" sz="1200" baseline="0"/>
            <a:t>  </a:t>
          </a:r>
          <a:r>
            <a:rPr lang="en-US" sz="1200"/>
            <a:t>quit</a:t>
          </a:r>
          <a:r>
            <a:rPr lang="en-US" sz="1200" baseline="0"/>
            <a:t> any of the platform.</a:t>
          </a:r>
        </a:p>
        <a:p>
          <a:endParaRPr lang="en-US" sz="1200" b="0" baseline="0"/>
        </a:p>
        <a:p>
          <a:r>
            <a:rPr lang="en-US" sz="1200" b="1"/>
            <a:t>•</a:t>
          </a:r>
          <a:r>
            <a:rPr lang="en-US" sz="1200"/>
            <a:t>  In</a:t>
          </a:r>
          <a:r>
            <a:rPr lang="en-US" sz="1200" baseline="0"/>
            <a:t> the </a:t>
          </a:r>
          <a:r>
            <a:rPr lang="en-US" sz="1200" b="1" baseline="0">
              <a:solidFill>
                <a:schemeClr val="accent1">
                  <a:lumMod val="75000"/>
                </a:schemeClr>
              </a:solidFill>
            </a:rPr>
            <a:t>Bar Graph </a:t>
          </a:r>
          <a:r>
            <a:rPr lang="en-US" sz="1200" b="0" baseline="0">
              <a:solidFill>
                <a:srgbClr val="FF0000"/>
              </a:solidFill>
            </a:rPr>
            <a:t>all platforms</a:t>
          </a:r>
          <a:r>
            <a:rPr lang="en-US" sz="1200" baseline="0">
              <a:solidFill>
                <a:srgbClr val="FF0000"/>
              </a:solidFill>
            </a:rPr>
            <a:t> </a:t>
          </a:r>
          <a:r>
            <a:rPr lang="en-US" sz="1200" baseline="0">
              <a:solidFill>
                <a:schemeClr val="tx1"/>
              </a:solidFill>
            </a:rPr>
            <a:t>have</a:t>
          </a:r>
        </a:p>
        <a:p>
          <a:r>
            <a:rPr lang="en-US" sz="1200" baseline="0">
              <a:solidFill>
                <a:schemeClr val="tx1"/>
              </a:solidFill>
            </a:rPr>
            <a:t>     almost equal contribution in Engagement </a:t>
          </a:r>
        </a:p>
        <a:p>
          <a:r>
            <a:rPr lang="en-US" sz="1200" baseline="0">
              <a:solidFill>
                <a:schemeClr val="tx1"/>
              </a:solidFill>
            </a:rPr>
            <a:t>     Rate</a:t>
          </a:r>
        </a:p>
        <a:p>
          <a:endParaRPr lang="en-US" sz="1200" baseline="0">
            <a:solidFill>
              <a:schemeClr val="tx1"/>
            </a:solidFill>
          </a:endParaRPr>
        </a:p>
        <a:p>
          <a:r>
            <a:rPr lang="en-US" sz="1200" baseline="0">
              <a:solidFill>
                <a:schemeClr val="tx1"/>
              </a:solidFill>
            </a:rPr>
            <a:t>•   Followers count is also huge of all the </a:t>
          </a:r>
        </a:p>
        <a:p>
          <a:r>
            <a:rPr lang="en-US" sz="1200" baseline="0">
              <a:solidFill>
                <a:schemeClr val="tx1"/>
              </a:solidFill>
            </a:rPr>
            <a:t>     platforms</a:t>
          </a:r>
        </a:p>
        <a:p>
          <a:endParaRPr lang="en-US" sz="1200" baseline="0">
            <a:solidFill>
              <a:schemeClr val="tx1"/>
            </a:solidFill>
            <a:effectLst/>
            <a:latin typeface="+mn-lt"/>
            <a:ea typeface="+mn-ea"/>
            <a:cs typeface="+mn-cs"/>
          </a:endParaRPr>
        </a:p>
        <a:p>
          <a:r>
            <a:rPr lang="en-US" sz="1100" i="1" baseline="0">
              <a:solidFill>
                <a:srgbClr val="FF0000"/>
              </a:solidFill>
              <a:effectLst/>
              <a:latin typeface="+mn-lt"/>
              <a:ea typeface="+mn-ea"/>
              <a:cs typeface="+mn-cs"/>
            </a:rPr>
            <a:t>•   We should stick to all three platforms and</a:t>
          </a:r>
        </a:p>
        <a:p>
          <a:r>
            <a:rPr lang="en-US" sz="1100" i="1" baseline="0">
              <a:solidFill>
                <a:srgbClr val="FF0000"/>
              </a:solidFill>
              <a:effectLst/>
              <a:latin typeface="+mn-lt"/>
              <a:ea typeface="+mn-ea"/>
              <a:cs typeface="+mn-cs"/>
            </a:rPr>
            <a:t>     Capital for advertisment should equaly be  </a:t>
          </a:r>
          <a:endParaRPr lang="en-US" sz="1200" i="1">
            <a:solidFill>
              <a:srgbClr val="FF0000"/>
            </a:solidFill>
            <a:effectLst/>
          </a:endParaRPr>
        </a:p>
        <a:p>
          <a:r>
            <a:rPr lang="en-US" sz="1100" i="1" baseline="0">
              <a:solidFill>
                <a:srgbClr val="FF0000"/>
              </a:solidFill>
              <a:effectLst/>
              <a:latin typeface="+mn-lt"/>
              <a:ea typeface="+mn-ea"/>
              <a:cs typeface="+mn-cs"/>
            </a:rPr>
            <a:t>     utilised in every platfrom as every platform </a:t>
          </a:r>
          <a:endParaRPr lang="en-US" sz="1200" i="1">
            <a:solidFill>
              <a:srgbClr val="FF0000"/>
            </a:solidFill>
            <a:effectLst/>
          </a:endParaRPr>
        </a:p>
        <a:p>
          <a:r>
            <a:rPr lang="en-US" sz="1100" i="1" baseline="0">
              <a:solidFill>
                <a:srgbClr val="FF0000"/>
              </a:solidFill>
              <a:effectLst/>
              <a:latin typeface="+mn-lt"/>
              <a:ea typeface="+mn-ea"/>
              <a:cs typeface="+mn-cs"/>
            </a:rPr>
            <a:t>     have huge followers base. </a:t>
          </a:r>
          <a:endParaRPr lang="en-US" sz="1200" i="1">
            <a:solidFill>
              <a:srgbClr val="FF0000"/>
            </a:solidFill>
            <a:effectLst/>
          </a:endParaRPr>
        </a:p>
        <a:p>
          <a:endParaRPr lang="en-US" sz="1200" b="0" i="1" baseline="0">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1" u="none" strike="noStrike" kern="0" cap="none" spc="0" normalizeH="0" baseline="0" noProof="0">
            <a:ln>
              <a:noFill/>
            </a:ln>
            <a:solidFill>
              <a:srgbClr val="000000"/>
            </a:solidFill>
            <a:effectLst/>
            <a:uLnTx/>
            <a:uFillTx/>
            <a:latin typeface="+mn-lt"/>
            <a:cs typeface="+mn-cs"/>
          </a:endParaRPr>
        </a:p>
        <a:p>
          <a:endParaRPr lang="en-US" sz="1100" b="0" i="1" baseline="0">
            <a:solidFill>
              <a:srgbClr val="FF0000"/>
            </a:solidFill>
          </a:endParaRPr>
        </a:p>
      </xdr:txBody>
    </xdr:sp>
    <xdr:clientData/>
  </xdr:twoCellAnchor>
  <xdr:oneCellAnchor>
    <xdr:from>
      <xdr:col>14</xdr:col>
      <xdr:colOff>1171575</xdr:colOff>
      <xdr:row>18</xdr:row>
      <xdr:rowOff>19049</xdr:rowOff>
    </xdr:from>
    <xdr:ext cx="2638425" cy="1647826"/>
    <xdr:sp macro="" textlink="">
      <xdr:nvSpPr>
        <xdr:cNvPr id="5" name="TextBox 4">
          <a:extLst>
            <a:ext uri="{FF2B5EF4-FFF2-40B4-BE49-F238E27FC236}">
              <a16:creationId xmlns:a16="http://schemas.microsoft.com/office/drawing/2014/main" id="{718AD987-338B-4173-AE86-69CF2462A5E6}"/>
            </a:ext>
          </a:extLst>
        </xdr:cNvPr>
        <xdr:cNvSpPr txBox="1"/>
      </xdr:nvSpPr>
      <xdr:spPr>
        <a:xfrm>
          <a:off x="16621125" y="3543299"/>
          <a:ext cx="2638425" cy="164782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Formula used for average </a:t>
          </a:r>
        </a:p>
        <a:p>
          <a:endParaRPr lang="en-US" sz="1100"/>
        </a:p>
        <a:p>
          <a:endParaRPr lang="en-US" sz="1100"/>
        </a:p>
        <a:p>
          <a:r>
            <a:rPr lang="en-US" sz="1100"/>
            <a:t>=AVERAGEIF(</a:t>
          </a:r>
          <a:r>
            <a:rPr lang="en-US" sz="1100">
              <a:solidFill>
                <a:srgbClr val="00B0F0"/>
              </a:solidFill>
            </a:rPr>
            <a:t>'Engagement Summary'!B:B, </a:t>
          </a:r>
          <a:r>
            <a:rPr lang="en-US" sz="1100"/>
            <a:t>"</a:t>
          </a:r>
          <a:r>
            <a:rPr lang="en-US" sz="1100">
              <a:solidFill>
                <a:srgbClr val="FF0000"/>
              </a:solidFill>
            </a:rPr>
            <a:t>PLATFORM</a:t>
          </a:r>
          <a:r>
            <a:rPr lang="en-US" sz="1100" baseline="0">
              <a:solidFill>
                <a:srgbClr val="FF0000"/>
              </a:solidFill>
            </a:rPr>
            <a:t> NAME</a:t>
          </a:r>
          <a:r>
            <a:rPr lang="en-US" sz="1100"/>
            <a:t>",</a:t>
          </a:r>
          <a:r>
            <a:rPr lang="en-US" sz="1100">
              <a:solidFill>
                <a:srgbClr val="00B0F0"/>
              </a:solidFill>
            </a:rPr>
            <a:t>Table2[Weekly groth rate] </a:t>
          </a:r>
          <a:r>
            <a:rPr lang="en-US" sz="1100"/>
            <a:t>)</a:t>
          </a:r>
        </a:p>
      </xdr:txBody>
    </xdr:sp>
    <xdr:clientData/>
  </xdr:oneCellAnchor>
  <xdr:oneCellAnchor>
    <xdr:from>
      <xdr:col>14</xdr:col>
      <xdr:colOff>1123950</xdr:colOff>
      <xdr:row>27</xdr:row>
      <xdr:rowOff>47625</xdr:rowOff>
    </xdr:from>
    <xdr:ext cx="2638425" cy="1647826"/>
    <xdr:sp macro="" textlink="">
      <xdr:nvSpPr>
        <xdr:cNvPr id="8" name="TextBox 7">
          <a:extLst>
            <a:ext uri="{FF2B5EF4-FFF2-40B4-BE49-F238E27FC236}">
              <a16:creationId xmlns:a16="http://schemas.microsoft.com/office/drawing/2014/main" id="{3628DE0B-94BB-4BBB-B214-D650682738D5}"/>
            </a:ext>
          </a:extLst>
        </xdr:cNvPr>
        <xdr:cNvSpPr txBox="1"/>
      </xdr:nvSpPr>
      <xdr:spPr>
        <a:xfrm>
          <a:off x="16573500" y="5391150"/>
          <a:ext cx="2638425" cy="164782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Formula used for WEEKLY</a:t>
          </a:r>
          <a:r>
            <a:rPr lang="en-US" sz="1100" b="1" baseline="0"/>
            <a:t> GROWTH RATE</a:t>
          </a:r>
          <a:endParaRPr lang="en-US" sz="1100"/>
        </a:p>
        <a:p>
          <a:endParaRPr lang="en-US" sz="1100"/>
        </a:p>
        <a:p>
          <a:r>
            <a:rPr lang="en-US" sz="1100"/>
            <a:t>=(</a:t>
          </a:r>
          <a:r>
            <a:rPr lang="en-US" sz="1100">
              <a:solidFill>
                <a:srgbClr val="00B0F0"/>
              </a:solidFill>
            </a:rPr>
            <a:t>Current</a:t>
          </a:r>
          <a:r>
            <a:rPr lang="en-US" sz="1100" baseline="0">
              <a:solidFill>
                <a:srgbClr val="00B0F0"/>
              </a:solidFill>
            </a:rPr>
            <a:t> week Followers </a:t>
          </a:r>
          <a:r>
            <a:rPr lang="en-US" sz="1100" baseline="0"/>
            <a:t>- </a:t>
          </a:r>
          <a:r>
            <a:rPr lang="en-US" sz="1100" baseline="0">
              <a:solidFill>
                <a:srgbClr val="FF0000"/>
              </a:solidFill>
            </a:rPr>
            <a:t>Previous Week Followers </a:t>
          </a:r>
          <a:r>
            <a:rPr lang="en-US" sz="1100" baseline="0"/>
            <a:t>) / </a:t>
          </a:r>
          <a:r>
            <a:rPr lang="en-US" sz="1100" baseline="0">
              <a:solidFill>
                <a:srgbClr val="FF0000"/>
              </a:solidFill>
            </a:rPr>
            <a:t>Previous Week Followers</a:t>
          </a:r>
          <a:endParaRPr lang="en-US" sz="1100">
            <a:solidFill>
              <a:srgbClr val="FF0000"/>
            </a:solidFill>
          </a:endParaRPr>
        </a:p>
      </xdr:txBody>
    </xdr:sp>
    <xdr:clientData/>
  </xdr:oneCellAnchor>
  <xdr:twoCellAnchor>
    <xdr:from>
      <xdr:col>7</xdr:col>
      <xdr:colOff>374197</xdr:colOff>
      <xdr:row>11</xdr:row>
      <xdr:rowOff>180974</xdr:rowOff>
    </xdr:from>
    <xdr:to>
      <xdr:col>11</xdr:col>
      <xdr:colOff>390526</xdr:colOff>
      <xdr:row>29</xdr:row>
      <xdr:rowOff>152400</xdr:rowOff>
    </xdr:to>
    <xdr:sp macro="" textlink="">
      <xdr:nvSpPr>
        <xdr:cNvPr id="2" name="TextBox 1">
          <a:extLst>
            <a:ext uri="{FF2B5EF4-FFF2-40B4-BE49-F238E27FC236}">
              <a16:creationId xmlns:a16="http://schemas.microsoft.com/office/drawing/2014/main" id="{10EF762E-7936-4406-B7A5-6D9EBBA1D35B}"/>
            </a:ext>
          </a:extLst>
        </xdr:cNvPr>
        <xdr:cNvSpPr txBox="1"/>
      </xdr:nvSpPr>
      <xdr:spPr>
        <a:xfrm>
          <a:off x="7079797" y="2362199"/>
          <a:ext cx="3464379" cy="3524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B0F0"/>
              </a:solidFill>
            </a:rPr>
            <a:t>Performance Analysis</a:t>
          </a:r>
        </a:p>
        <a:p>
          <a:endParaRPr lang="en-US" sz="1050"/>
        </a:p>
        <a:p>
          <a:r>
            <a:rPr lang="en-US" sz="1600"/>
            <a:t>● Determine which platform yields highest engagement</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rgbClr val="000000"/>
              </a:solidFill>
              <a:effectLst/>
              <a:uLnTx/>
              <a:uFillTx/>
              <a:latin typeface="+mn-lt"/>
              <a:cs typeface="+mn-cs"/>
            </a:rPr>
            <a:t>● Visualize Ad Spend vs. Engagement using charts </a:t>
          </a:r>
        </a:p>
        <a:p>
          <a:r>
            <a:rPr lang="en-US" sz="1600"/>
            <a:t> </a:t>
          </a:r>
        </a:p>
        <a:p>
          <a:r>
            <a:rPr lang="en-US" sz="1600"/>
            <a:t>● Compare weekly follower growth rates across platforms </a:t>
          </a:r>
        </a:p>
        <a:p>
          <a:endParaRPr lang="en-US" sz="1600"/>
        </a:p>
        <a:p>
          <a:r>
            <a:rPr lang="en-US" sz="1600"/>
            <a:t>● Recommend focusing on 1–2 platforms or continuing multi-platform justify with data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990600</xdr:colOff>
      <xdr:row>15</xdr:row>
      <xdr:rowOff>185737</xdr:rowOff>
    </xdr:from>
    <xdr:to>
      <xdr:col>6</xdr:col>
      <xdr:colOff>304800</xdr:colOff>
      <xdr:row>30</xdr:row>
      <xdr:rowOff>71437</xdr:rowOff>
    </xdr:to>
    <xdr:graphicFrame macro="">
      <xdr:nvGraphicFramePr>
        <xdr:cNvPr id="7" name="Chart 6">
          <a:extLst>
            <a:ext uri="{FF2B5EF4-FFF2-40B4-BE49-F238E27FC236}">
              <a16:creationId xmlns:a16="http://schemas.microsoft.com/office/drawing/2014/main" id="{E089194F-0666-45D3-806D-3CAB25DD4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161925</xdr:colOff>
      <xdr:row>9</xdr:row>
      <xdr:rowOff>9523</xdr:rowOff>
    </xdr:from>
    <xdr:ext cx="5610226" cy="1724027"/>
    <xdr:sp macro="" textlink="">
      <xdr:nvSpPr>
        <xdr:cNvPr id="2" name="TextBox 1">
          <a:extLst>
            <a:ext uri="{FF2B5EF4-FFF2-40B4-BE49-F238E27FC236}">
              <a16:creationId xmlns:a16="http://schemas.microsoft.com/office/drawing/2014/main" id="{F7A1ED64-180C-4BFC-BEAE-57767ED04A09}"/>
            </a:ext>
          </a:extLst>
        </xdr:cNvPr>
        <xdr:cNvSpPr txBox="1"/>
      </xdr:nvSpPr>
      <xdr:spPr>
        <a:xfrm>
          <a:off x="5886450" y="3019423"/>
          <a:ext cx="5610226" cy="17240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rgbClr val="FF0000"/>
              </a:solidFill>
              <a:latin typeface="Bahnschrift Condensed" panose="020B0502040204020203" pitchFamily="34" charset="0"/>
            </a:rPr>
            <a:t>Formla</a:t>
          </a:r>
          <a:r>
            <a:rPr lang="en-US" sz="1600" b="1" baseline="0">
              <a:solidFill>
                <a:srgbClr val="FF0000"/>
              </a:solidFill>
              <a:latin typeface="Bahnschrift Condensed" panose="020B0502040204020203" pitchFamily="34" charset="0"/>
            </a:rPr>
            <a:t> Used To Find Most Frequent Hashtag (</a:t>
          </a:r>
          <a:r>
            <a:rPr lang="en-US" sz="1600" b="1"/>
            <a:t>Index-Match formula</a:t>
          </a:r>
          <a:r>
            <a:rPr lang="en-US" sz="1600"/>
            <a:t>.</a:t>
          </a:r>
          <a:r>
            <a:rPr lang="en-US" sz="1600" b="1" baseline="0">
              <a:solidFill>
                <a:srgbClr val="FF0000"/>
              </a:solidFill>
              <a:latin typeface="Bahnschrift Condensed" panose="020B0502040204020203" pitchFamily="34" charset="0"/>
            </a:rPr>
            <a:t>)</a:t>
          </a:r>
          <a:endParaRPr lang="en-US" sz="1600" b="1">
            <a:solidFill>
              <a:srgbClr val="FF0000"/>
            </a:solidFill>
            <a:latin typeface="Bahnschrift Condensed" panose="020B0502040204020203" pitchFamily="34" charset="0"/>
          </a:endParaRPr>
        </a:p>
        <a:p>
          <a:endParaRPr lang="en-US" sz="1100"/>
        </a:p>
        <a:p>
          <a:r>
            <a:rPr lang="en-US" sz="1100">
              <a:solidFill>
                <a:srgbClr val="FF0000"/>
              </a:solidFill>
            </a:rPr>
            <a:t>Syntax For Formula Used</a:t>
          </a:r>
        </a:p>
        <a:p>
          <a:r>
            <a:rPr lang="en-US" sz="1100">
              <a:solidFill>
                <a:schemeClr val="tx1"/>
              </a:solidFill>
            </a:rPr>
            <a:t>=INDEX(</a:t>
          </a:r>
          <a:r>
            <a:rPr lang="en-US" sz="1100">
              <a:solidFill>
                <a:srgbClr val="00B0F0"/>
              </a:solidFill>
            </a:rPr>
            <a:t>Hash</a:t>
          </a:r>
          <a:r>
            <a:rPr lang="en-US" sz="1100" baseline="0">
              <a:solidFill>
                <a:srgbClr val="00B0F0"/>
              </a:solidFill>
            </a:rPr>
            <a:t>tag Range</a:t>
          </a:r>
          <a:r>
            <a:rPr lang="en-US" sz="1100">
              <a:solidFill>
                <a:schemeClr val="tx1"/>
              </a:solidFill>
            </a:rPr>
            <a:t>, MATCH(MAX(</a:t>
          </a:r>
          <a:r>
            <a:rPr lang="en-US" sz="1100">
              <a:solidFill>
                <a:srgbClr val="FF0000"/>
              </a:solidFill>
            </a:rPr>
            <a:t>Usage</a:t>
          </a:r>
          <a:r>
            <a:rPr lang="en-US" sz="1100" baseline="0">
              <a:solidFill>
                <a:srgbClr val="FF0000"/>
              </a:solidFill>
            </a:rPr>
            <a:t> Count</a:t>
          </a:r>
          <a:r>
            <a:rPr lang="en-US" sz="1100">
              <a:solidFill>
                <a:schemeClr val="tx1"/>
              </a:solidFill>
            </a:rPr>
            <a:t>), </a:t>
          </a:r>
          <a:r>
            <a:rPr lang="en-US" sz="1100">
              <a:solidFill>
                <a:srgbClr val="FF0000"/>
              </a:solidFill>
            </a:rPr>
            <a:t>Usage</a:t>
          </a:r>
          <a:r>
            <a:rPr lang="en-US" sz="1100" baseline="0">
              <a:solidFill>
                <a:srgbClr val="FF0000"/>
              </a:solidFill>
            </a:rPr>
            <a:t> Count</a:t>
          </a:r>
          <a:r>
            <a:rPr lang="en-US" sz="1100">
              <a:solidFill>
                <a:schemeClr val="tx1"/>
              </a:solidFill>
            </a:rPr>
            <a:t>, Match</a:t>
          </a:r>
          <a:r>
            <a:rPr lang="en-US" sz="1100" baseline="0">
              <a:solidFill>
                <a:schemeClr val="tx1"/>
              </a:solidFill>
            </a:rPr>
            <a:t> Type</a:t>
          </a:r>
          <a:r>
            <a:rPr lang="en-US" sz="1100">
              <a:solidFill>
                <a:schemeClr val="tx1"/>
              </a:solidFill>
            </a:rPr>
            <a:t>))</a:t>
          </a:r>
        </a:p>
        <a:p>
          <a:endParaRPr lang="en-US" sz="1100">
            <a:solidFill>
              <a:srgbClr val="FF0000"/>
            </a:solidFill>
          </a:endParaRPr>
        </a:p>
        <a:p>
          <a:r>
            <a:rPr lang="en-US" sz="1100">
              <a:solidFill>
                <a:srgbClr val="FF0000"/>
              </a:solidFill>
            </a:rPr>
            <a:t>Orignal</a:t>
          </a:r>
          <a:r>
            <a:rPr lang="en-US" sz="1100" baseline="0">
              <a:solidFill>
                <a:srgbClr val="FF0000"/>
              </a:solidFill>
            </a:rPr>
            <a:t> Formula Used</a:t>
          </a:r>
          <a:endParaRPr lang="en-US" sz="1100">
            <a:solidFill>
              <a:srgbClr val="FF0000"/>
            </a:solidFill>
          </a:endParaRPr>
        </a:p>
        <a:p>
          <a:r>
            <a:rPr lang="en-US" sz="1100"/>
            <a:t>=INDEX(</a:t>
          </a:r>
          <a:r>
            <a:rPr lang="en-US" sz="1100">
              <a:solidFill>
                <a:srgbClr val="00B0F0"/>
              </a:solidFill>
            </a:rPr>
            <a:t>Table9[[All Hastags ]]</a:t>
          </a:r>
          <a:r>
            <a:rPr lang="en-US" sz="1100"/>
            <a:t>,MATCH(MAX(</a:t>
          </a:r>
          <a:r>
            <a:rPr lang="en-US" sz="1100">
              <a:solidFill>
                <a:srgbClr val="FF0000"/>
              </a:solidFill>
            </a:rPr>
            <a:t>Table9['# Usage</a:t>
          </a:r>
          <a:r>
            <a:rPr lang="en-US" sz="1100" baseline="0">
              <a:solidFill>
                <a:srgbClr val="FF0000"/>
              </a:solidFill>
            </a:rPr>
            <a:t> </a:t>
          </a:r>
          <a:r>
            <a:rPr lang="en-US" sz="1100">
              <a:solidFill>
                <a:srgbClr val="FF0000"/>
              </a:solidFill>
            </a:rPr>
            <a:t>Count]</a:t>
          </a:r>
          <a:r>
            <a:rPr lang="en-US" sz="1100"/>
            <a:t>),</a:t>
          </a:r>
          <a:r>
            <a:rPr lang="en-US" sz="1100">
              <a:solidFill>
                <a:srgbClr val="FF0000"/>
              </a:solidFill>
            </a:rPr>
            <a:t>Table9['# Usage Count]</a:t>
          </a:r>
          <a:r>
            <a:rPr lang="en-US" sz="1100"/>
            <a:t>,0))</a:t>
          </a:r>
        </a:p>
      </xdr:txBody>
    </xdr:sp>
    <xdr:clientData/>
  </xdr:oneCellAnchor>
  <xdr:twoCellAnchor>
    <xdr:from>
      <xdr:col>5</xdr:col>
      <xdr:colOff>38100</xdr:colOff>
      <xdr:row>10</xdr:row>
      <xdr:rowOff>123825</xdr:rowOff>
    </xdr:from>
    <xdr:to>
      <xdr:col>6</xdr:col>
      <xdr:colOff>581025</xdr:colOff>
      <xdr:row>13</xdr:row>
      <xdr:rowOff>66675</xdr:rowOff>
    </xdr:to>
    <xdr:cxnSp macro="">
      <xdr:nvCxnSpPr>
        <xdr:cNvPr id="4" name="Straight Arrow Connector 3">
          <a:extLst>
            <a:ext uri="{FF2B5EF4-FFF2-40B4-BE49-F238E27FC236}">
              <a16:creationId xmlns:a16="http://schemas.microsoft.com/office/drawing/2014/main" id="{F7A113A7-B099-4AB0-BEB0-0CCFA6D2BB35}"/>
            </a:ext>
          </a:extLst>
        </xdr:cNvPr>
        <xdr:cNvCxnSpPr/>
      </xdr:nvCxnSpPr>
      <xdr:spPr>
        <a:xfrm flipH="1">
          <a:off x="4133850" y="3324225"/>
          <a:ext cx="2171700" cy="523875"/>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9527</xdr:colOff>
      <xdr:row>2</xdr:row>
      <xdr:rowOff>129453</xdr:rowOff>
    </xdr:from>
    <xdr:to>
      <xdr:col>23</xdr:col>
      <xdr:colOff>647701</xdr:colOff>
      <xdr:row>17</xdr:row>
      <xdr:rowOff>15153</xdr:rowOff>
    </xdr:to>
    <xdr:graphicFrame macro="">
      <xdr:nvGraphicFramePr>
        <xdr:cNvPr id="10" name="Chart 9">
          <a:extLst>
            <a:ext uri="{FF2B5EF4-FFF2-40B4-BE49-F238E27FC236}">
              <a16:creationId xmlns:a16="http://schemas.microsoft.com/office/drawing/2014/main" id="{B566AA6E-41DD-44BD-AC21-28AB5F0A3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710046</xdr:colOff>
      <xdr:row>9</xdr:row>
      <xdr:rowOff>8658</xdr:rowOff>
    </xdr:from>
    <xdr:ext cx="2770909" cy="1567295"/>
    <xdr:sp macro="" textlink="">
      <xdr:nvSpPr>
        <xdr:cNvPr id="11" name="TextBox 10">
          <a:extLst>
            <a:ext uri="{FF2B5EF4-FFF2-40B4-BE49-F238E27FC236}">
              <a16:creationId xmlns:a16="http://schemas.microsoft.com/office/drawing/2014/main" id="{C2DB2A79-AA27-4305-8BDD-D24CD1D42E83}"/>
            </a:ext>
          </a:extLst>
        </xdr:cNvPr>
        <xdr:cNvSpPr txBox="1"/>
      </xdr:nvSpPr>
      <xdr:spPr>
        <a:xfrm>
          <a:off x="14824364" y="4745181"/>
          <a:ext cx="2770909" cy="156729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solidFill>
                <a:srgbClr val="FF0000"/>
              </a:solidFill>
            </a:rPr>
            <a:t>YouTube leads</a:t>
          </a:r>
          <a:r>
            <a:rPr lang="en-US">
              <a:solidFill>
                <a:srgbClr val="FF0000"/>
              </a:solidFill>
            </a:rPr>
            <a:t> </a:t>
          </a:r>
          <a:r>
            <a:rPr lang="en-US" b="1">
              <a:solidFill>
                <a:srgbClr val="FF0000"/>
              </a:solidFill>
            </a:rPr>
            <a:t>for</a:t>
          </a:r>
          <a:r>
            <a:rPr lang="en-US">
              <a:solidFill>
                <a:srgbClr val="FF0000"/>
              </a:solidFill>
            </a:rPr>
            <a:t> </a:t>
          </a:r>
          <a:r>
            <a:rPr lang="en-US" b="1">
              <a:solidFill>
                <a:srgbClr val="FF0000"/>
              </a:solidFill>
            </a:rPr>
            <a:t>Text content</a:t>
          </a:r>
          <a:r>
            <a:rPr lang="en-US">
              <a:solidFill>
                <a:srgbClr val="FF0000"/>
              </a:solidFill>
            </a:rPr>
            <a:t>.</a:t>
          </a:r>
        </a:p>
        <a:p>
          <a:endParaRPr lang="en-US" sz="1100"/>
        </a:p>
        <a:p>
          <a:r>
            <a:rPr lang="en-US" b="1"/>
            <a:t>Reels Have high impressions</a:t>
          </a:r>
          <a:r>
            <a:rPr lang="en-US" b="0" baseline="0"/>
            <a:t> </a:t>
          </a:r>
          <a:r>
            <a:rPr lang="en-US" b="0" baseline="0">
              <a:solidFill>
                <a:srgbClr val="FF0000"/>
              </a:solidFill>
            </a:rPr>
            <a:t>that make</a:t>
          </a:r>
          <a:r>
            <a:rPr lang="en-US">
              <a:solidFill>
                <a:srgbClr val="FF0000"/>
              </a:solidFill>
            </a:rPr>
            <a:t> them worth investing</a:t>
          </a:r>
          <a:r>
            <a:rPr lang="en-US" baseline="0">
              <a:solidFill>
                <a:srgbClr val="FF0000"/>
              </a:solidFill>
            </a:rPr>
            <a:t> </a:t>
          </a:r>
          <a:r>
            <a:rPr lang="en-US">
              <a:solidFill>
                <a:srgbClr val="FF0000"/>
              </a:solidFill>
            </a:rPr>
            <a:t>.</a:t>
          </a:r>
        </a:p>
        <a:p>
          <a:endParaRPr lang="en-US" sz="1100"/>
        </a:p>
        <a:p>
          <a:r>
            <a:rPr lang="en-US" b="1"/>
            <a:t>Stories lag slightly </a:t>
          </a:r>
          <a:r>
            <a:rPr lang="en-US" b="0" baseline="0">
              <a:solidFill>
                <a:srgbClr val="FF0000"/>
              </a:solidFill>
            </a:rPr>
            <a:t>but</a:t>
          </a:r>
          <a:r>
            <a:rPr lang="en-US" b="1" baseline="0">
              <a:solidFill>
                <a:srgbClr val="FF0000"/>
              </a:solidFill>
            </a:rPr>
            <a:t> </a:t>
          </a:r>
          <a:r>
            <a:rPr lang="en-US">
              <a:solidFill>
                <a:srgbClr val="FF0000"/>
              </a:solidFill>
            </a:rPr>
            <a:t>on Twitter they perform better.</a:t>
          </a:r>
        </a:p>
      </xdr:txBody>
    </xdr:sp>
    <xdr:clientData/>
  </xdr:oneCellAnchor>
  <xdr:oneCellAnchor>
    <xdr:from>
      <xdr:col>13</xdr:col>
      <xdr:colOff>95252</xdr:colOff>
      <xdr:row>22</xdr:row>
      <xdr:rowOff>51954</xdr:rowOff>
    </xdr:from>
    <xdr:ext cx="5602430" cy="2718955"/>
    <xdr:sp macro="" textlink="">
      <xdr:nvSpPr>
        <xdr:cNvPr id="12" name="TextBox 11">
          <a:extLst>
            <a:ext uri="{FF2B5EF4-FFF2-40B4-BE49-F238E27FC236}">
              <a16:creationId xmlns:a16="http://schemas.microsoft.com/office/drawing/2014/main" id="{82ED4D89-875C-472C-8B2A-7741D8695156}"/>
            </a:ext>
          </a:extLst>
        </xdr:cNvPr>
        <xdr:cNvSpPr txBox="1"/>
      </xdr:nvSpPr>
      <xdr:spPr>
        <a:xfrm>
          <a:off x="11923570" y="4606636"/>
          <a:ext cx="5602430" cy="271895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sz="1800" b="1">
              <a:latin typeface="Bahnschrift Condensed" panose="020B0502040204020203" pitchFamily="34" charset="0"/>
            </a:rPr>
            <a:t>Optimal Content Type-Platform Combinations </a:t>
          </a:r>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Instagram</a:t>
          </a:r>
          <a:r>
            <a:rPr lang="en-US" b="0" baseline="0"/>
            <a:t> </a:t>
          </a:r>
          <a:r>
            <a:rPr lang="en-US" b="1"/>
            <a:t>Best:</a:t>
          </a:r>
          <a:r>
            <a:rPr lang="en-US"/>
            <a:t> </a:t>
          </a:r>
          <a:r>
            <a:rPr lang="en-US" b="1">
              <a:solidFill>
                <a:srgbClr val="92D050"/>
              </a:solidFill>
            </a:rPr>
            <a:t>Text</a:t>
          </a:r>
          <a:r>
            <a:rPr lang="en-US">
              <a:solidFill>
                <a:srgbClr val="92D050"/>
              </a:solidFill>
            </a:rPr>
            <a:t> (40,729 avg. impression) </a:t>
          </a:r>
          <a:r>
            <a:rPr lang="en-US"/>
            <a:t>but </a:t>
          </a:r>
          <a:r>
            <a:rPr lang="en-US" sz="1100" b="1">
              <a:solidFill>
                <a:srgbClr val="C00000"/>
              </a:solidFill>
              <a:effectLst/>
              <a:latin typeface="+mn-lt"/>
              <a:ea typeface="+mn-ea"/>
              <a:cs typeface="+mn-cs"/>
            </a:rPr>
            <a:t>Story </a:t>
          </a:r>
          <a:r>
            <a:rPr lang="en-US" sz="1100" b="0">
              <a:solidFill>
                <a:srgbClr val="C00000"/>
              </a:solidFill>
              <a:effectLst/>
              <a:latin typeface="+mn-lt"/>
              <a:ea typeface="+mn-ea"/>
              <a:cs typeface="+mn-cs"/>
            </a:rPr>
            <a:t>(37,626)</a:t>
          </a:r>
          <a:br>
            <a:rPr lang="en-US"/>
          </a:br>
          <a:r>
            <a:rPr lang="en-US"/>
            <a:t>Recommendation: Use </a:t>
          </a:r>
          <a:r>
            <a:rPr lang="en-US" b="1">
              <a:solidFill>
                <a:srgbClr val="92D050"/>
              </a:solidFill>
            </a:rPr>
            <a:t>Text posts</a:t>
          </a:r>
          <a:r>
            <a:rPr lang="en-US">
              <a:solidFill>
                <a:srgbClr val="92D050"/>
              </a:solidFill>
            </a:rPr>
            <a:t> </a:t>
          </a:r>
          <a:r>
            <a:rPr lang="en-US"/>
            <a:t>for broader reach and </a:t>
          </a:r>
          <a:r>
            <a:rPr lang="en-US" sz="1100">
              <a:solidFill>
                <a:schemeClr val="tx1"/>
              </a:solidFill>
              <a:effectLst/>
              <a:latin typeface="+mn-lt"/>
              <a:ea typeface="+mn-ea"/>
              <a:cs typeface="+mn-cs"/>
            </a:rPr>
            <a:t>maximum impressions</a:t>
          </a:r>
          <a:r>
            <a:rPr lang="en-US" sz="1100" baseline="0">
              <a:solidFill>
                <a:schemeClr val="tx1"/>
              </a:solidFill>
              <a:effectLst/>
              <a:latin typeface="+mn-lt"/>
              <a:ea typeface="+mn-ea"/>
              <a:cs typeface="+mn-cs"/>
            </a:rPr>
            <a:t> use</a:t>
          </a:r>
          <a:r>
            <a:rPr lang="en-US" b="1"/>
            <a:t> </a:t>
          </a:r>
          <a:r>
            <a:rPr lang="en-US" b="1">
              <a:solidFill>
                <a:srgbClr val="C00000"/>
              </a:solidFill>
            </a:rPr>
            <a:t>Story</a:t>
          </a:r>
          <a:r>
            <a:rPr lang="en-US" b="1"/>
            <a:t> </a:t>
          </a:r>
          <a:r>
            <a:rPr lang="en-US"/>
            <a:t>for engagement.</a:t>
          </a:r>
        </a:p>
        <a:p>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Twitter </a:t>
          </a:r>
          <a:r>
            <a:rPr lang="en-US" sz="1100" b="1">
              <a:solidFill>
                <a:schemeClr val="tx1"/>
              </a:solidFill>
              <a:effectLst/>
              <a:latin typeface="+mn-lt"/>
              <a:ea typeface="+mn-ea"/>
              <a:cs typeface="+mn-cs"/>
            </a:rPr>
            <a:t>Best:</a:t>
          </a:r>
          <a:r>
            <a:rPr lang="en-US" sz="1100">
              <a:solidFill>
                <a:schemeClr val="tx1"/>
              </a:solidFill>
              <a:effectLst/>
              <a:latin typeface="+mn-lt"/>
              <a:ea typeface="+mn-ea"/>
              <a:cs typeface="+mn-cs"/>
            </a:rPr>
            <a:t> </a:t>
          </a:r>
          <a:r>
            <a:rPr lang="en-US" sz="1100" b="1">
              <a:solidFill>
                <a:srgbClr val="C00000"/>
              </a:solidFill>
              <a:effectLst/>
              <a:latin typeface="+mn-lt"/>
              <a:ea typeface="+mn-ea"/>
              <a:cs typeface="+mn-cs"/>
            </a:rPr>
            <a:t>Story</a:t>
          </a:r>
          <a:r>
            <a:rPr lang="en-US" sz="1100">
              <a:solidFill>
                <a:schemeClr val="tx1"/>
              </a:solidFill>
              <a:effectLst/>
              <a:latin typeface="+mn-lt"/>
              <a:ea typeface="+mn-ea"/>
              <a:cs typeface="+mn-cs"/>
            </a:rPr>
            <a:t> </a:t>
          </a:r>
          <a:r>
            <a:rPr lang="en-US" sz="1100">
              <a:solidFill>
                <a:srgbClr val="C00000"/>
              </a:solidFill>
              <a:effectLst/>
              <a:latin typeface="+mn-lt"/>
              <a:ea typeface="+mn-ea"/>
              <a:cs typeface="+mn-cs"/>
            </a:rPr>
            <a:t>(42,216 avg .impression) </a:t>
          </a:r>
          <a:r>
            <a:rPr lang="en-US" sz="1100">
              <a:solidFill>
                <a:schemeClr val="tx1"/>
              </a:solidFill>
              <a:effectLst/>
              <a:latin typeface="+mn-lt"/>
              <a:ea typeface="+mn-ea"/>
              <a:cs typeface="+mn-cs"/>
            </a:rPr>
            <a:t>but </a:t>
          </a:r>
          <a:r>
            <a:rPr lang="en-US" sz="1100" b="1">
              <a:solidFill>
                <a:srgbClr val="92D050"/>
              </a:solidFill>
              <a:effectLst/>
              <a:latin typeface="+mn-lt"/>
              <a:ea typeface="+mn-ea"/>
              <a:cs typeface="+mn-cs"/>
            </a:rPr>
            <a:t>Text </a:t>
          </a:r>
          <a:r>
            <a:rPr lang="en-US" sz="1100" b="0">
              <a:solidFill>
                <a:srgbClr val="92D050"/>
              </a:solidFill>
              <a:effectLst/>
              <a:latin typeface="+mn-lt"/>
              <a:ea typeface="+mn-ea"/>
              <a:cs typeface="+mn-cs"/>
            </a:rPr>
            <a:t>(40,429)</a:t>
          </a:r>
          <a:br>
            <a:rPr lang="en-US" b="1">
              <a:solidFill>
                <a:srgbClr val="92D050"/>
              </a:solidFill>
            </a:rPr>
          </a:br>
          <a:r>
            <a:rPr lang="en-US"/>
            <a:t>Recommendation: Focus on </a:t>
          </a:r>
          <a:r>
            <a:rPr lang="en-US" b="1">
              <a:solidFill>
                <a:srgbClr val="C00000"/>
              </a:solidFill>
            </a:rPr>
            <a:t>Story</a:t>
          </a:r>
          <a:r>
            <a:rPr lang="en-US"/>
            <a:t>, supported by </a:t>
          </a:r>
          <a:r>
            <a:rPr lang="en-US" b="1">
              <a:solidFill>
                <a:srgbClr val="92D050"/>
              </a:solidFill>
            </a:rPr>
            <a:t>Text tweets</a:t>
          </a:r>
          <a:r>
            <a:rPr lang="en-US"/>
            <a:t>.</a:t>
          </a:r>
        </a:p>
        <a:p>
          <a:endParaRPr lang="en-US" b="1"/>
        </a:p>
        <a:p>
          <a:pPr marL="0" marR="0" lvl="0" indent="0" defTabSz="914400" eaLnBrk="1" fontAlgn="auto" latinLnBrk="0" hangingPunct="1">
            <a:lnSpc>
              <a:spcPct val="100000"/>
            </a:lnSpc>
            <a:spcBef>
              <a:spcPts val="0"/>
            </a:spcBef>
            <a:spcAft>
              <a:spcPts val="0"/>
            </a:spcAft>
            <a:buClrTx/>
            <a:buSzTx/>
            <a:buFontTx/>
            <a:buNone/>
            <a:tabLst/>
            <a:defRPr/>
          </a:pPr>
          <a:r>
            <a:rPr lang="en-US" b="1"/>
            <a:t>YouTube </a:t>
          </a:r>
          <a:r>
            <a:rPr lang="en-US" sz="1100" b="1">
              <a:solidFill>
                <a:schemeClr val="tx1"/>
              </a:solidFill>
              <a:effectLst/>
              <a:latin typeface="+mn-lt"/>
              <a:ea typeface="+mn-ea"/>
              <a:cs typeface="+mn-cs"/>
            </a:rPr>
            <a:t>Best:</a:t>
          </a:r>
          <a:r>
            <a:rPr lang="en-US" sz="1100">
              <a:solidFill>
                <a:schemeClr val="tx1"/>
              </a:solidFill>
              <a:effectLst/>
              <a:latin typeface="+mn-lt"/>
              <a:ea typeface="+mn-ea"/>
              <a:cs typeface="+mn-cs"/>
            </a:rPr>
            <a:t> </a:t>
          </a:r>
          <a:r>
            <a:rPr lang="en-US" sz="1100" b="1">
              <a:solidFill>
                <a:srgbClr val="92D050"/>
              </a:solidFill>
              <a:effectLst/>
              <a:latin typeface="+mn-lt"/>
              <a:ea typeface="+mn-ea"/>
              <a:cs typeface="+mn-cs"/>
            </a:rPr>
            <a:t>Text </a:t>
          </a:r>
          <a:r>
            <a:rPr lang="en-US" sz="1100">
              <a:solidFill>
                <a:srgbClr val="92D050"/>
              </a:solidFill>
              <a:effectLst/>
              <a:latin typeface="+mn-lt"/>
              <a:ea typeface="+mn-ea"/>
              <a:cs typeface="+mn-cs"/>
            </a:rPr>
            <a:t>(45,416 avg. impression) </a:t>
          </a:r>
          <a:r>
            <a:rPr lang="en-US" sz="1100">
              <a:solidFill>
                <a:schemeClr val="tx1"/>
              </a:solidFill>
              <a:effectLst/>
              <a:latin typeface="+mn-lt"/>
              <a:ea typeface="+mn-ea"/>
              <a:cs typeface="+mn-cs"/>
            </a:rPr>
            <a:t>but </a:t>
          </a:r>
          <a:r>
            <a:rPr lang="en-US" sz="1100" b="1">
              <a:solidFill>
                <a:schemeClr val="accent5">
                  <a:lumMod val="60000"/>
                  <a:lumOff val="40000"/>
                </a:schemeClr>
              </a:solidFill>
              <a:effectLst/>
              <a:latin typeface="+mn-lt"/>
              <a:ea typeface="+mn-ea"/>
              <a:cs typeface="+mn-cs"/>
            </a:rPr>
            <a:t>Reels </a:t>
          </a:r>
          <a:r>
            <a:rPr lang="en-US" sz="1100" b="0">
              <a:solidFill>
                <a:schemeClr val="accent5">
                  <a:lumMod val="60000"/>
                  <a:lumOff val="40000"/>
                </a:schemeClr>
              </a:solidFill>
              <a:effectLst/>
              <a:latin typeface="+mn-lt"/>
              <a:ea typeface="+mn-ea"/>
              <a:cs typeface="+mn-cs"/>
            </a:rPr>
            <a:t>(42,547)</a:t>
          </a:r>
          <a:endParaRPr lang="en-US" b="0">
            <a:solidFill>
              <a:schemeClr val="accent5">
                <a:lumMod val="60000"/>
                <a:lumOff val="40000"/>
              </a:schemeClr>
            </a:solidFill>
            <a:effectLst/>
          </a:endParaRPr>
        </a:p>
        <a:p>
          <a:r>
            <a:rPr lang="en-US"/>
            <a:t>Recommendation: Use </a:t>
          </a:r>
          <a:r>
            <a:rPr lang="en-US" b="1">
              <a:solidFill>
                <a:srgbClr val="92D050"/>
              </a:solidFill>
            </a:rPr>
            <a:t>Text posts </a:t>
          </a:r>
          <a:r>
            <a:rPr lang="en-US" b="0">
              <a:solidFill>
                <a:schemeClr val="tx1"/>
              </a:solidFill>
            </a:rPr>
            <a:t>more</a:t>
          </a:r>
          <a:r>
            <a:rPr lang="en-US">
              <a:solidFill>
                <a:srgbClr val="92D050"/>
              </a:solidFill>
            </a:rPr>
            <a:t> </a:t>
          </a:r>
          <a:r>
            <a:rPr lang="en-US"/>
            <a:t>(</a:t>
          </a:r>
          <a:r>
            <a:rPr lang="en-US" b="0"/>
            <a:t>captions</a:t>
          </a:r>
          <a:r>
            <a:rPr lang="en-US" b="0" baseline="0"/>
            <a:t> and </a:t>
          </a:r>
          <a:r>
            <a:rPr lang="en-US" b="0"/>
            <a:t>descriptions</a:t>
          </a:r>
          <a:r>
            <a:rPr lang="en-US" b="0" baseline="0"/>
            <a:t> </a:t>
          </a:r>
          <a:r>
            <a:rPr lang="en-US"/>
            <a:t>)+ </a:t>
          </a:r>
          <a:r>
            <a:rPr lang="en-US" b="1">
              <a:solidFill>
                <a:schemeClr val="accent5">
                  <a:lumMod val="60000"/>
                  <a:lumOff val="40000"/>
                </a:schemeClr>
              </a:solidFill>
            </a:rPr>
            <a:t>Reels</a:t>
          </a:r>
          <a:r>
            <a:rPr lang="en-US"/>
            <a:t> for maximum impressions.</a:t>
          </a:r>
        </a:p>
        <a:p>
          <a:endParaRPr lang="en-US" sz="1100"/>
        </a:p>
      </xdr:txBody>
    </xdr:sp>
    <xdr:clientData/>
  </xdr:oneCellAnchor>
  <xdr:twoCellAnchor>
    <xdr:from>
      <xdr:col>18</xdr:col>
      <xdr:colOff>580160</xdr:colOff>
      <xdr:row>22</xdr:row>
      <xdr:rowOff>17320</xdr:rowOff>
    </xdr:from>
    <xdr:to>
      <xdr:col>23</xdr:col>
      <xdr:colOff>736022</xdr:colOff>
      <xdr:row>36</xdr:row>
      <xdr:rowOff>84861</xdr:rowOff>
    </xdr:to>
    <xdr:graphicFrame macro="">
      <xdr:nvGraphicFramePr>
        <xdr:cNvPr id="15" name="Chart 14">
          <a:extLst>
            <a:ext uri="{FF2B5EF4-FFF2-40B4-BE49-F238E27FC236}">
              <a16:creationId xmlns:a16="http://schemas.microsoft.com/office/drawing/2014/main" id="{8AC94310-54F9-42ED-B220-9B0791AB6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968829</xdr:colOff>
      <xdr:row>18</xdr:row>
      <xdr:rowOff>171451</xdr:rowOff>
    </xdr:from>
    <xdr:to>
      <xdr:col>11</xdr:col>
      <xdr:colOff>190500</xdr:colOff>
      <xdr:row>32</xdr:row>
      <xdr:rowOff>152400</xdr:rowOff>
    </xdr:to>
    <xdr:sp macro="" textlink="">
      <xdr:nvSpPr>
        <xdr:cNvPr id="3" name="TextBox 2">
          <a:extLst>
            <a:ext uri="{FF2B5EF4-FFF2-40B4-BE49-F238E27FC236}">
              <a16:creationId xmlns:a16="http://schemas.microsoft.com/office/drawing/2014/main" id="{1C2717CE-9D35-456B-8085-11C6DD46C9A7}"/>
            </a:ext>
          </a:extLst>
        </xdr:cNvPr>
        <xdr:cNvSpPr txBox="1"/>
      </xdr:nvSpPr>
      <xdr:spPr>
        <a:xfrm>
          <a:off x="7160079" y="3819526"/>
          <a:ext cx="4698546" cy="2857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B0F0"/>
              </a:solidFill>
            </a:rPr>
            <a:t>Hashtag &amp; Content Strategy</a:t>
          </a:r>
          <a:endParaRPr lang="en-US" sz="1600"/>
        </a:p>
        <a:p>
          <a:endParaRPr lang="en-US" sz="1800"/>
        </a:p>
        <a:p>
          <a:r>
            <a:rPr lang="en-US" sz="1600"/>
            <a:t>● Most frequent hashtags and </a:t>
          </a:r>
          <a:r>
            <a:rPr lang="en-US" sz="1600">
              <a:solidFill>
                <a:schemeClr val="tx1"/>
              </a:solidFill>
            </a:rPr>
            <a:t>average</a:t>
          </a:r>
          <a:r>
            <a:rPr lang="en-US" sz="1600"/>
            <a:t> engagement for each </a:t>
          </a:r>
        </a:p>
        <a:p>
          <a:endParaRPr lang="en-US" sz="1600"/>
        </a:p>
        <a:p>
          <a:r>
            <a:rPr lang="en-US" sz="1600"/>
            <a:t>● Compare content types (Text, Story,Reel) performance across platforms </a:t>
          </a:r>
        </a:p>
        <a:p>
          <a:endParaRPr lang="en-US" sz="1600"/>
        </a:p>
        <a:p>
          <a:r>
            <a:rPr lang="en-US" sz="1600"/>
            <a:t>● Recommend optimal content type-platform combinations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xdr:colOff>
      <xdr:row>26</xdr:row>
      <xdr:rowOff>47624</xdr:rowOff>
    </xdr:from>
    <xdr:to>
      <xdr:col>10</xdr:col>
      <xdr:colOff>47625</xdr:colOff>
      <xdr:row>33</xdr:row>
      <xdr:rowOff>180975</xdr:rowOff>
    </xdr:to>
    <xdr:grpSp>
      <xdr:nvGrpSpPr>
        <xdr:cNvPr id="11" name="Group 10">
          <a:extLst>
            <a:ext uri="{FF2B5EF4-FFF2-40B4-BE49-F238E27FC236}">
              <a16:creationId xmlns:a16="http://schemas.microsoft.com/office/drawing/2014/main" id="{F71BA7F1-D671-42A8-9EFA-93785E35B2DC}"/>
            </a:ext>
          </a:extLst>
        </xdr:cNvPr>
        <xdr:cNvGrpSpPr/>
      </xdr:nvGrpSpPr>
      <xdr:grpSpPr>
        <a:xfrm>
          <a:off x="5295900" y="5238749"/>
          <a:ext cx="6074569" cy="1562101"/>
          <a:chOff x="9459484" y="6019799"/>
          <a:chExt cx="6342491" cy="1133476"/>
        </a:xfrm>
      </xdr:grpSpPr>
      <xdr:sp macro="" textlink="">
        <xdr:nvSpPr>
          <xdr:cNvPr id="2" name="TextBox 1">
            <a:extLst>
              <a:ext uri="{FF2B5EF4-FFF2-40B4-BE49-F238E27FC236}">
                <a16:creationId xmlns:a16="http://schemas.microsoft.com/office/drawing/2014/main" id="{250BAEBC-0B63-4C90-B97B-7AF9323D2248}"/>
              </a:ext>
            </a:extLst>
          </xdr:cNvPr>
          <xdr:cNvSpPr txBox="1"/>
        </xdr:nvSpPr>
        <xdr:spPr>
          <a:xfrm>
            <a:off x="9582150" y="6019799"/>
            <a:ext cx="6219825" cy="113347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rgbClr val="FF0000"/>
                </a:solidFill>
              </a:rPr>
              <a:t>Formula</a:t>
            </a:r>
            <a:r>
              <a:rPr lang="en-US" sz="1400" b="1" baseline="0">
                <a:solidFill>
                  <a:srgbClr val="FF0000"/>
                </a:solidFill>
              </a:rPr>
              <a:t> Used For Uplift During vs. Before Campaign</a:t>
            </a:r>
          </a:p>
          <a:p>
            <a:endParaRPr lang="en-US" sz="1400" b="1" baseline="0"/>
          </a:p>
          <a:p>
            <a:r>
              <a:rPr lang="en-US" sz="1400" b="1" baseline="0"/>
              <a:t>                          </a:t>
            </a:r>
            <a:r>
              <a:rPr lang="en-US" sz="1400" b="1">
                <a:solidFill>
                  <a:schemeClr val="accent1"/>
                </a:solidFill>
              </a:rPr>
              <a:t>Engagement Rate During - Engagement Rate Before</a:t>
            </a:r>
          </a:p>
          <a:p>
            <a:r>
              <a:rPr lang="en-US" sz="1400" b="1"/>
              <a:t>		</a:t>
            </a:r>
            <a:r>
              <a:rPr lang="en-US" sz="1400" b="1">
                <a:solidFill>
                  <a:schemeClr val="accent1"/>
                </a:solidFill>
              </a:rPr>
              <a:t>Engagement</a:t>
            </a:r>
            <a:r>
              <a:rPr lang="en-US" sz="1400" b="1" baseline="0">
                <a:solidFill>
                  <a:schemeClr val="accent1"/>
                </a:solidFill>
              </a:rPr>
              <a:t> Rate Before</a:t>
            </a:r>
            <a:endParaRPr lang="en-US" sz="1400" b="1">
              <a:solidFill>
                <a:schemeClr val="accent1"/>
              </a:solidFill>
            </a:endParaRPr>
          </a:p>
        </xdr:txBody>
      </xdr:sp>
      <xdr:cxnSp macro="">
        <xdr:nvCxnSpPr>
          <xdr:cNvPr id="4" name="Straight Connector 3">
            <a:extLst>
              <a:ext uri="{FF2B5EF4-FFF2-40B4-BE49-F238E27FC236}">
                <a16:creationId xmlns:a16="http://schemas.microsoft.com/office/drawing/2014/main" id="{8AE2C9D7-06D9-4C82-BC62-ECE297B896DE}"/>
              </a:ext>
            </a:extLst>
          </xdr:cNvPr>
          <xdr:cNvCxnSpPr/>
        </xdr:nvCxnSpPr>
        <xdr:spPr>
          <a:xfrm flipV="1">
            <a:off x="11034339" y="6535036"/>
            <a:ext cx="4526112" cy="1206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7" name="TextBox 6">
            <a:extLst>
              <a:ext uri="{FF2B5EF4-FFF2-40B4-BE49-F238E27FC236}">
                <a16:creationId xmlns:a16="http://schemas.microsoft.com/office/drawing/2014/main" id="{E8F35B19-EFB3-45B5-A9BC-7B6D80E6FB33}"/>
              </a:ext>
            </a:extLst>
          </xdr:cNvPr>
          <xdr:cNvSpPr txBox="1"/>
        </xdr:nvSpPr>
        <xdr:spPr>
          <a:xfrm>
            <a:off x="9459484" y="6386075"/>
            <a:ext cx="16383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FF0000"/>
                </a:solidFill>
              </a:rPr>
              <a:t>Uplift (%) </a:t>
            </a:r>
            <a:r>
              <a:rPr lang="en-US" sz="2000" b="1">
                <a:solidFill>
                  <a:schemeClr val="tx1"/>
                </a:solidFill>
              </a:rPr>
              <a:t>=</a:t>
            </a:r>
          </a:p>
        </xdr:txBody>
      </xdr:sp>
    </xdr:grpSp>
    <xdr:clientData/>
  </xdr:twoCellAnchor>
  <xdr:oneCellAnchor>
    <xdr:from>
      <xdr:col>3</xdr:col>
      <xdr:colOff>180976</xdr:colOff>
      <xdr:row>33</xdr:row>
      <xdr:rowOff>85724</xdr:rowOff>
    </xdr:from>
    <xdr:ext cx="8162924" cy="2695575"/>
    <xdr:sp macro="" textlink="">
      <xdr:nvSpPr>
        <xdr:cNvPr id="17" name="TextBox 16">
          <a:extLst>
            <a:ext uri="{FF2B5EF4-FFF2-40B4-BE49-F238E27FC236}">
              <a16:creationId xmlns:a16="http://schemas.microsoft.com/office/drawing/2014/main" id="{50293814-28C9-47D1-8361-A72506F97C4F}"/>
            </a:ext>
          </a:extLst>
        </xdr:cNvPr>
        <xdr:cNvSpPr txBox="1"/>
      </xdr:nvSpPr>
      <xdr:spPr>
        <a:xfrm>
          <a:off x="1857376" y="6648449"/>
          <a:ext cx="8162924" cy="26955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latin typeface="+mn-lt"/>
            </a:rPr>
            <a:t>Positive percentages → increased         Negative percentages → decreased </a:t>
          </a:r>
        </a:p>
        <a:p>
          <a:endParaRPr lang="en-US" sz="1400" b="1">
            <a:latin typeface="+mn-lt"/>
          </a:endParaRPr>
        </a:p>
        <a:p>
          <a:r>
            <a:rPr lang="en-US" sz="1400" b="1">
              <a:solidFill>
                <a:schemeClr val="accent1"/>
              </a:solidFill>
              <a:latin typeface="+mn-lt"/>
            </a:rPr>
            <a:t>• ChillVibes</a:t>
          </a:r>
          <a:r>
            <a:rPr lang="en-US" sz="1400">
              <a:solidFill>
                <a:schemeClr val="accent1"/>
              </a:solidFill>
              <a:latin typeface="+mn-lt"/>
            </a:rPr>
            <a:t> </a:t>
          </a:r>
          <a:r>
            <a:rPr lang="en-US" sz="1400">
              <a:latin typeface="+mn-lt"/>
            </a:rPr>
            <a:t>→ Engagement </a:t>
          </a:r>
          <a:r>
            <a:rPr lang="en-US" sz="1400" b="0" i="0" spc="0" baseline="0">
              <a:ln>
                <a:noFill/>
              </a:ln>
              <a:solidFill>
                <a:srgbClr val="000000"/>
              </a:solidFill>
              <a:effectLst/>
              <a:latin typeface="+mn-lt"/>
              <a:ea typeface="Calibri" panose="020F0502020204030204" pitchFamily="34" charset="0"/>
              <a:cs typeface="Calibri" panose="020F0502020204030204" pitchFamily="34" charset="0"/>
            </a:rPr>
            <a:t>Uplift</a:t>
          </a:r>
          <a:r>
            <a:rPr lang="en-US" sz="1400">
              <a:latin typeface="+mn-lt"/>
            </a:rPr>
            <a:t> by </a:t>
          </a:r>
          <a:r>
            <a:rPr kumimoji="0" lang="en-US" sz="1400" b="1" i="0" u="none" strike="noStrike" kern="0" cap="none" spc="0" normalizeH="0" baseline="0" noProof="0">
              <a:ln>
                <a:noFill/>
              </a:ln>
              <a:solidFill>
                <a:srgbClr val="4F81BD"/>
              </a:solidFill>
              <a:effectLst/>
              <a:uLnTx/>
              <a:uFillTx/>
              <a:latin typeface="+mn-lt"/>
              <a:cs typeface="+mn-cs"/>
            </a:rPr>
            <a:t>30%</a:t>
          </a:r>
          <a:r>
            <a:rPr kumimoji="0" lang="en-US" sz="1400" b="0" i="0" u="none" strike="noStrike" kern="0" cap="none" spc="0" normalizeH="0" baseline="0" noProof="0">
              <a:ln>
                <a:noFill/>
              </a:ln>
              <a:solidFill>
                <a:srgbClr val="000000"/>
              </a:solidFill>
              <a:effectLst/>
              <a:uLnTx/>
              <a:uFillTx/>
              <a:latin typeface="+mn-lt"/>
              <a:cs typeface="+mn-cs"/>
            </a:rPr>
            <a:t> </a:t>
          </a:r>
          <a:r>
            <a:rPr lang="en-US" sz="1400">
              <a:latin typeface="+mn-lt"/>
            </a:rPr>
            <a:t>during the campaign.</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1"/>
              </a:solidFill>
              <a:latin typeface="+mn-lt"/>
            </a:rPr>
            <a:t>• IndieWave</a:t>
          </a:r>
          <a:r>
            <a:rPr lang="en-US" sz="1400">
              <a:solidFill>
                <a:schemeClr val="accent1"/>
              </a:solidFill>
              <a:latin typeface="+mn-lt"/>
            </a:rPr>
            <a:t> </a:t>
          </a:r>
          <a:r>
            <a:rPr lang="en-US" sz="1400">
              <a:latin typeface="+mn-lt"/>
            </a:rPr>
            <a:t>→ </a:t>
          </a:r>
          <a:r>
            <a:rPr kumimoji="0" lang="en-US" sz="1400" b="0" i="0" u="none" strike="noStrike" kern="0" cap="none" spc="0" normalizeH="0" baseline="0" noProof="0">
              <a:ln>
                <a:noFill/>
              </a:ln>
              <a:solidFill>
                <a:srgbClr val="000000"/>
              </a:solidFill>
              <a:effectLst/>
              <a:uLnTx/>
              <a:uFillTx/>
              <a:latin typeface="+mn-lt"/>
              <a:cs typeface="+mn-cs"/>
            </a:rPr>
            <a:t>Engagement </a:t>
          </a:r>
          <a:r>
            <a:rPr lang="en-US" sz="1400" b="0" i="0" spc="0" baseline="0">
              <a:ln>
                <a:noFill/>
              </a:ln>
              <a:solidFill>
                <a:srgbClr val="000000"/>
              </a:solidFill>
              <a:effectLst/>
              <a:latin typeface="+mn-lt"/>
              <a:ea typeface="Calibri" panose="020F0502020204030204" pitchFamily="34" charset="0"/>
              <a:cs typeface="Calibri" panose="020F0502020204030204" pitchFamily="34" charset="0"/>
            </a:rPr>
            <a:t>Uplift</a:t>
          </a:r>
          <a:r>
            <a:rPr kumimoji="0" lang="en-US" sz="1400" b="0" i="0" u="none" strike="noStrike" kern="0" cap="none" spc="0" normalizeH="0" baseline="0" noProof="0">
              <a:ln>
                <a:noFill/>
              </a:ln>
              <a:solidFill>
                <a:srgbClr val="000000"/>
              </a:solidFill>
              <a:effectLst/>
              <a:uLnTx/>
              <a:uFillTx/>
              <a:latin typeface="+mn-lt"/>
              <a:cs typeface="+mn-cs"/>
            </a:rPr>
            <a:t> by </a:t>
          </a:r>
          <a:r>
            <a:rPr kumimoji="0" lang="en-US" sz="1400" b="1" i="0" u="none" strike="noStrike" kern="0" cap="none" spc="0" normalizeH="0" baseline="0" noProof="0">
              <a:ln>
                <a:noFill/>
              </a:ln>
              <a:solidFill>
                <a:srgbClr val="4F81BD"/>
              </a:solidFill>
              <a:effectLst/>
              <a:uLnTx/>
              <a:uFillTx/>
              <a:latin typeface="+mn-lt"/>
              <a:cs typeface="+mn-cs"/>
            </a:rPr>
            <a:t>28%</a:t>
          </a:r>
          <a:r>
            <a:rPr kumimoji="0" lang="en-US" sz="1400" b="0" i="0" u="none" strike="noStrike" kern="0" cap="none" spc="0" normalizeH="0" baseline="0" noProof="0">
              <a:ln>
                <a:noFill/>
              </a:ln>
              <a:solidFill>
                <a:srgbClr val="000000"/>
              </a:solidFill>
              <a:effectLst/>
              <a:uLnTx/>
              <a:uFillTx/>
              <a:latin typeface="+mn-lt"/>
              <a:cs typeface="+mn-cs"/>
            </a:rPr>
            <a:t> during the campaign.</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1"/>
              </a:solidFill>
              <a:latin typeface="+mn-lt"/>
            </a:rPr>
            <a:t>• SummerBeats</a:t>
          </a:r>
          <a:r>
            <a:rPr lang="en-US" sz="1400">
              <a:solidFill>
                <a:schemeClr val="accent1"/>
              </a:solidFill>
              <a:latin typeface="+mn-lt"/>
            </a:rPr>
            <a:t> </a:t>
          </a:r>
          <a:r>
            <a:rPr lang="en-US" sz="1400">
              <a:latin typeface="+mn-lt"/>
            </a:rPr>
            <a:t>→ </a:t>
          </a:r>
          <a:r>
            <a:rPr kumimoji="0" lang="en-US" sz="1400" b="0" i="0" u="none" strike="noStrike" kern="0" cap="none" spc="0" normalizeH="0" baseline="0" noProof="0">
              <a:ln>
                <a:noFill/>
              </a:ln>
              <a:solidFill>
                <a:srgbClr val="000000"/>
              </a:solidFill>
              <a:effectLst/>
              <a:uLnTx/>
              <a:uFillTx/>
              <a:latin typeface="+mn-lt"/>
              <a:cs typeface="+mn-cs"/>
            </a:rPr>
            <a:t>Engagement </a:t>
          </a:r>
          <a:r>
            <a:rPr kumimoji="0" lang="en-US" sz="1400" b="0" i="0" u="none" strike="noStrike" kern="0" cap="none" spc="0" normalizeH="0" baseline="0" noProof="0">
              <a:ln>
                <a:noFill/>
              </a:ln>
              <a:solidFill>
                <a:srgbClr val="000000"/>
              </a:solidFill>
              <a:effectLst/>
              <a:uLnTx/>
              <a:uFillTx/>
              <a:latin typeface="+mn-lt"/>
              <a:cs typeface="Calibri" panose="020F0502020204030204" pitchFamily="34" charset="0"/>
            </a:rPr>
            <a:t>Droped</a:t>
          </a:r>
          <a:r>
            <a:rPr kumimoji="0" lang="en-US" sz="1400" b="0" i="0" u="none" strike="noStrike" kern="0" cap="none" spc="0" normalizeH="0" baseline="0" noProof="0">
              <a:ln>
                <a:noFill/>
              </a:ln>
              <a:solidFill>
                <a:srgbClr val="000000"/>
              </a:solidFill>
              <a:effectLst/>
              <a:uLnTx/>
              <a:uFillTx/>
              <a:latin typeface="+mn-lt"/>
              <a:cs typeface="+mn-cs"/>
            </a:rPr>
            <a:t> by </a:t>
          </a:r>
          <a:r>
            <a:rPr kumimoji="0" lang="en-US" sz="1400" b="1" i="0" u="none" strike="noStrike" kern="0" cap="none" spc="0" normalizeH="0" baseline="0" noProof="0">
              <a:ln>
                <a:noFill/>
              </a:ln>
              <a:solidFill>
                <a:srgbClr val="4F81BD"/>
              </a:solidFill>
              <a:effectLst/>
              <a:uLnTx/>
              <a:uFillTx/>
              <a:latin typeface="+mn-lt"/>
              <a:cs typeface="+mn-cs"/>
            </a:rPr>
            <a:t>-19%</a:t>
          </a:r>
          <a:r>
            <a:rPr kumimoji="0" lang="en-US" sz="1400" b="0" i="0" u="none" strike="noStrike" kern="0" cap="none" spc="0" normalizeH="0" baseline="0" noProof="0">
              <a:ln>
                <a:noFill/>
              </a:ln>
              <a:solidFill>
                <a:srgbClr val="000000"/>
              </a:solidFill>
              <a:effectLst/>
              <a:uLnTx/>
              <a:uFillTx/>
              <a:latin typeface="+mn-lt"/>
              <a:cs typeface="+mn-cs"/>
            </a:rPr>
            <a:t> during the campaign.</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1"/>
              </a:solidFill>
              <a:latin typeface="+mn-lt"/>
            </a:rPr>
            <a:t>• Wrapped2024</a:t>
          </a:r>
          <a:r>
            <a:rPr lang="en-US" sz="1400">
              <a:latin typeface="+mn-lt"/>
            </a:rPr>
            <a:t> → </a:t>
          </a:r>
          <a:r>
            <a:rPr kumimoji="0" lang="en-US" sz="1400" b="0" i="0" u="none" strike="noStrike" kern="0" cap="none" spc="0" normalizeH="0" baseline="0" noProof="0">
              <a:ln>
                <a:noFill/>
              </a:ln>
              <a:solidFill>
                <a:srgbClr val="000000"/>
              </a:solidFill>
              <a:effectLst/>
              <a:uLnTx/>
              <a:uFillTx/>
              <a:latin typeface="+mn-lt"/>
              <a:cs typeface="+mn-cs"/>
            </a:rPr>
            <a:t>Engagement Uplift by </a:t>
          </a:r>
          <a:r>
            <a:rPr kumimoji="0" lang="en-US" sz="1400" b="1" i="0" u="none" strike="noStrike" kern="0" cap="none" spc="0" normalizeH="0" baseline="0" noProof="0">
              <a:ln>
                <a:noFill/>
              </a:ln>
              <a:solidFill>
                <a:srgbClr val="4F81BD"/>
              </a:solidFill>
              <a:effectLst/>
              <a:uLnTx/>
              <a:uFillTx/>
              <a:latin typeface="+mn-lt"/>
              <a:cs typeface="+mn-cs"/>
            </a:rPr>
            <a:t>10%</a:t>
          </a:r>
          <a:r>
            <a:rPr kumimoji="0" lang="en-US" sz="1400" b="0" i="0" u="none" strike="noStrike" kern="0" cap="none" spc="0" normalizeH="0" baseline="0" noProof="0">
              <a:ln>
                <a:noFill/>
              </a:ln>
              <a:solidFill>
                <a:srgbClr val="000000"/>
              </a:solidFill>
              <a:effectLst/>
              <a:uLnTx/>
              <a:uFillTx/>
              <a:latin typeface="+mn-lt"/>
              <a:cs typeface="+mn-cs"/>
            </a:rPr>
            <a:t> during the campaign.</a:t>
          </a:r>
        </a:p>
        <a:p>
          <a:endParaRPr lang="en-US" sz="1400" b="1">
            <a:latin typeface="+mn-lt"/>
          </a:endParaRPr>
        </a:p>
        <a:p>
          <a:r>
            <a:rPr lang="en-US" sz="1400">
              <a:latin typeface="+mn-lt"/>
            </a:rPr>
            <a:t>During the campaign, most hashtags showed a positive uplift as compared to before campaign. </a:t>
          </a:r>
          <a:r>
            <a:rPr lang="en-US" sz="1400" b="1">
              <a:solidFill>
                <a:schemeClr val="accent1"/>
              </a:solidFill>
              <a:latin typeface="+mn-lt"/>
            </a:rPr>
            <a:t>ChillVibes (+30%)</a:t>
          </a:r>
          <a:r>
            <a:rPr lang="en-US" sz="1400">
              <a:solidFill>
                <a:schemeClr val="accent1"/>
              </a:solidFill>
              <a:latin typeface="+mn-lt"/>
            </a:rPr>
            <a:t>, </a:t>
          </a:r>
          <a:r>
            <a:rPr lang="en-US" sz="1400" b="1">
              <a:solidFill>
                <a:schemeClr val="accent1"/>
              </a:solidFill>
              <a:latin typeface="+mn-lt"/>
            </a:rPr>
            <a:t>IndieWave (+28%)</a:t>
          </a:r>
          <a:r>
            <a:rPr lang="en-US" sz="1400">
              <a:solidFill>
                <a:schemeClr val="tx1"/>
              </a:solidFill>
              <a:latin typeface="+mn-lt"/>
            </a:rPr>
            <a:t>,</a:t>
          </a:r>
          <a:r>
            <a:rPr lang="en-US" sz="1400">
              <a:solidFill>
                <a:schemeClr val="accent1"/>
              </a:solidFill>
              <a:latin typeface="+mn-lt"/>
            </a:rPr>
            <a:t> </a:t>
          </a:r>
          <a:r>
            <a:rPr lang="en-US" sz="1400">
              <a:latin typeface="+mn-lt"/>
            </a:rPr>
            <a:t>and </a:t>
          </a:r>
          <a:r>
            <a:rPr lang="en-US" sz="1400" b="1">
              <a:solidFill>
                <a:schemeClr val="accent1"/>
              </a:solidFill>
              <a:latin typeface="+mn-lt"/>
            </a:rPr>
            <a:t>Wrapped2024 (+10%)</a:t>
          </a:r>
          <a:r>
            <a:rPr lang="en-US" sz="1400">
              <a:solidFill>
                <a:schemeClr val="accent1"/>
              </a:solidFill>
              <a:latin typeface="+mn-lt"/>
            </a:rPr>
            <a:t> </a:t>
          </a:r>
          <a:r>
            <a:rPr lang="en-US" sz="1400">
              <a:latin typeface="+mn-lt"/>
            </a:rPr>
            <a:t>recorded notable improvements, indicating successful campaign impact. However,</a:t>
          </a:r>
          <a:r>
            <a:rPr lang="en-US" sz="1400">
              <a:solidFill>
                <a:schemeClr val="accent1"/>
              </a:solidFill>
              <a:latin typeface="+mn-lt"/>
            </a:rPr>
            <a:t> </a:t>
          </a:r>
          <a:r>
            <a:rPr lang="en-US" sz="1400" b="1">
              <a:solidFill>
                <a:srgbClr val="FF0000"/>
              </a:solidFill>
              <a:latin typeface="+mn-lt"/>
            </a:rPr>
            <a:t>SummerBeats experienced a decline of 19%</a:t>
          </a:r>
          <a:r>
            <a:rPr lang="en-US" sz="1400">
              <a:solidFill>
                <a:schemeClr val="tx1"/>
              </a:solidFill>
              <a:latin typeface="+mn-lt"/>
            </a:rPr>
            <a:t>,</a:t>
          </a:r>
          <a:r>
            <a:rPr lang="en-US" sz="1400">
              <a:solidFill>
                <a:srgbClr val="FF0000"/>
              </a:solidFill>
              <a:latin typeface="+mn-lt"/>
            </a:rPr>
            <a:t> </a:t>
          </a:r>
          <a:r>
            <a:rPr lang="en-US" sz="1400">
              <a:solidFill>
                <a:schemeClr val="tx1"/>
              </a:solidFill>
              <a:latin typeface="+mn-lt"/>
            </a:rPr>
            <a:t>which</a:t>
          </a:r>
          <a:r>
            <a:rPr lang="en-US" sz="1400" baseline="0">
              <a:solidFill>
                <a:schemeClr val="tx1"/>
              </a:solidFill>
              <a:latin typeface="+mn-lt"/>
            </a:rPr>
            <a:t> shows </a:t>
          </a:r>
          <a:r>
            <a:rPr lang="en-US" sz="1400">
              <a:latin typeface="+mn-lt"/>
            </a:rPr>
            <a:t>lower audience</a:t>
          </a:r>
          <a:r>
            <a:rPr lang="en-US" sz="1400" baseline="0">
              <a:latin typeface="+mn-lt"/>
            </a:rPr>
            <a:t> and engagement rate</a:t>
          </a:r>
          <a:r>
            <a:rPr lang="en-US" sz="1400">
              <a:latin typeface="+mn-lt"/>
            </a:rPr>
            <a:t> during the campaign period.</a:t>
          </a:r>
          <a:endParaRPr lang="en-US" sz="1400" b="1">
            <a:latin typeface="+mn-lt"/>
          </a:endParaRPr>
        </a:p>
      </xdr:txBody>
    </xdr:sp>
    <xdr:clientData/>
  </xdr:oneCellAnchor>
  <xdr:twoCellAnchor>
    <xdr:from>
      <xdr:col>10</xdr:col>
      <xdr:colOff>190500</xdr:colOff>
      <xdr:row>20</xdr:row>
      <xdr:rowOff>142874</xdr:rowOff>
    </xdr:from>
    <xdr:to>
      <xdr:col>15</xdr:col>
      <xdr:colOff>1847850</xdr:colOff>
      <xdr:row>49</xdr:row>
      <xdr:rowOff>57149</xdr:rowOff>
    </xdr:to>
    <xdr:grpSp>
      <xdr:nvGrpSpPr>
        <xdr:cNvPr id="5" name="Group 4">
          <a:extLst>
            <a:ext uri="{FF2B5EF4-FFF2-40B4-BE49-F238E27FC236}">
              <a16:creationId xmlns:a16="http://schemas.microsoft.com/office/drawing/2014/main" id="{1EFC15CC-3F0C-45D0-A3EC-560643D09A2D}"/>
            </a:ext>
          </a:extLst>
        </xdr:cNvPr>
        <xdr:cNvGrpSpPr/>
      </xdr:nvGrpSpPr>
      <xdr:grpSpPr>
        <a:xfrm>
          <a:off x="11513344" y="4190999"/>
          <a:ext cx="7072312" cy="5534025"/>
          <a:chOff x="11925300" y="4105274"/>
          <a:chExt cx="7543800" cy="5553075"/>
        </a:xfrm>
      </xdr:grpSpPr>
      <xdr:sp macro="" textlink="">
        <xdr:nvSpPr>
          <xdr:cNvPr id="23" name="TextBox 22">
            <a:extLst>
              <a:ext uri="{FF2B5EF4-FFF2-40B4-BE49-F238E27FC236}">
                <a16:creationId xmlns:a16="http://schemas.microsoft.com/office/drawing/2014/main" id="{2F463DC0-C5A8-4F91-A912-191D11133B36}"/>
              </a:ext>
            </a:extLst>
          </xdr:cNvPr>
          <xdr:cNvSpPr txBox="1"/>
        </xdr:nvSpPr>
        <xdr:spPr>
          <a:xfrm>
            <a:off x="11925300" y="4105274"/>
            <a:ext cx="7543800" cy="55530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solidFill>
                  <a:srgbClr val="FF0000"/>
                </a:solidFill>
              </a:rPr>
              <a:t>All Formula Used In</a:t>
            </a:r>
            <a:r>
              <a:rPr lang="en-US" sz="1800" baseline="0">
                <a:solidFill>
                  <a:srgbClr val="FF0000"/>
                </a:solidFill>
              </a:rPr>
              <a:t> </a:t>
            </a:r>
            <a:r>
              <a:rPr lang="en-US" sz="1800">
                <a:solidFill>
                  <a:srgbClr val="FF0000"/>
                </a:solidFill>
              </a:rPr>
              <a:t>Task 5</a:t>
            </a:r>
            <a:r>
              <a:rPr lang="en-US" sz="1100"/>
              <a:t> </a:t>
            </a:r>
          </a:p>
          <a:p>
            <a:endParaRPr lang="en-US" sz="1100"/>
          </a:p>
          <a:p>
            <a:r>
              <a:rPr lang="en-US" sz="1400" b="1">
                <a:solidFill>
                  <a:schemeClr val="accent1"/>
                </a:solidFill>
                <a:latin typeface="+mn-lt"/>
              </a:rPr>
              <a:t>• Lookup Formula .(Start_Date</a:t>
            </a:r>
            <a:r>
              <a:rPr lang="en-US" sz="1400" b="1" baseline="0">
                <a:solidFill>
                  <a:schemeClr val="accent1"/>
                </a:solidFill>
                <a:latin typeface="+mn-lt"/>
              </a:rPr>
              <a:t> and End_Date</a:t>
            </a:r>
            <a:r>
              <a:rPr lang="en-US" sz="1400" b="1">
                <a:solidFill>
                  <a:schemeClr val="accent1"/>
                </a:solidFill>
                <a:latin typeface="+mn-lt"/>
              </a:rPr>
              <a:t>)</a:t>
            </a:r>
          </a:p>
          <a:p>
            <a:endParaRPr lang="en-US" sz="1100"/>
          </a:p>
          <a:p>
            <a:r>
              <a:rPr lang="en-US" sz="1400"/>
              <a:t>=(XLOOKUP(</a:t>
            </a:r>
            <a:r>
              <a:rPr lang="en-US" sz="1400">
                <a:solidFill>
                  <a:schemeClr val="accent1"/>
                </a:solidFill>
              </a:rPr>
              <a:t>lookup_value</a:t>
            </a:r>
            <a:r>
              <a:rPr lang="en-US" sz="1400"/>
              <a:t>, lookup_array, return_array))</a:t>
            </a:r>
          </a:p>
          <a:p>
            <a:r>
              <a:rPr lang="en-US" sz="1100"/>
              <a:t> </a:t>
            </a:r>
          </a:p>
          <a:p>
            <a:endParaRPr lang="en-US" sz="1100"/>
          </a:p>
          <a:p>
            <a:r>
              <a:rPr lang="en-US" sz="1200" b="1">
                <a:solidFill>
                  <a:schemeClr val="accent1"/>
                </a:solidFill>
                <a:effectLst/>
                <a:latin typeface="+mn-lt"/>
                <a:ea typeface="+mn-ea"/>
                <a:cs typeface="+mn-cs"/>
              </a:rPr>
              <a:t>           </a:t>
            </a:r>
            <a:r>
              <a:rPr lang="en-US" sz="1200" b="0">
                <a:solidFill>
                  <a:schemeClr val="tx1"/>
                </a:solidFill>
                <a:effectLst/>
                <a:latin typeface="+mn-lt"/>
                <a:ea typeface="+mn-ea"/>
                <a:cs typeface="+mn-cs"/>
              </a:rPr>
              <a:t>C</a:t>
            </a:r>
            <a:r>
              <a:rPr lang="en-US" sz="1200"/>
              <a:t>urrent Campaign Name               Campaign Names List              Campaign Start/End</a:t>
            </a:r>
            <a:r>
              <a:rPr lang="en-US" sz="1200" baseline="0"/>
              <a:t> D</a:t>
            </a:r>
            <a:r>
              <a:rPr lang="en-US" sz="1200"/>
              <a:t>ates</a:t>
            </a:r>
            <a:endParaRPr lang="en-US" sz="1200" b="1">
              <a:solidFill>
                <a:schemeClr val="accent1"/>
              </a:solidFill>
              <a:effectLst/>
              <a:latin typeface="+mn-lt"/>
              <a:ea typeface="+mn-ea"/>
              <a:cs typeface="+mn-cs"/>
            </a:endParaRPr>
          </a:p>
          <a:p>
            <a:r>
              <a:rPr lang="en-US" sz="1100" b="1">
                <a:solidFill>
                  <a:schemeClr val="accent1"/>
                </a:solidFill>
                <a:effectLst/>
                <a:latin typeface="+mn-lt"/>
                <a:ea typeface="+mn-ea"/>
                <a:cs typeface="+mn-cs"/>
              </a:rPr>
              <a:t> </a:t>
            </a:r>
          </a:p>
          <a:p>
            <a:endParaRPr lang="en-US" sz="1100" b="1">
              <a:solidFill>
                <a:schemeClr val="accent1"/>
              </a:solidFill>
              <a:effectLst/>
              <a:latin typeface="+mn-lt"/>
              <a:ea typeface="+mn-ea"/>
              <a:cs typeface="+mn-cs"/>
            </a:endParaRPr>
          </a:p>
          <a:p>
            <a:r>
              <a:rPr lang="en-US" sz="1100" b="1">
                <a:solidFill>
                  <a:schemeClr val="accent1"/>
                </a:solidFill>
                <a:effectLst/>
                <a:latin typeface="+mn-lt"/>
                <a:ea typeface="+mn-ea"/>
                <a:cs typeface="+mn-cs"/>
              </a:rPr>
              <a:t>Start_Date</a:t>
            </a:r>
            <a:r>
              <a:rPr lang="en-US" sz="1100" b="1" baseline="0">
                <a:solidFill>
                  <a:schemeClr val="accent1"/>
                </a:solidFill>
                <a:effectLst/>
                <a:latin typeface="+mn-lt"/>
                <a:ea typeface="+mn-ea"/>
                <a:cs typeface="+mn-cs"/>
              </a:rPr>
              <a:t> </a:t>
            </a:r>
            <a:endParaRPr lang="en-US" sz="1100">
              <a:solidFill>
                <a:schemeClr val="accent1"/>
              </a:solidFill>
            </a:endParaRPr>
          </a:p>
          <a:p>
            <a:r>
              <a:rPr lang="en-US" sz="1100"/>
              <a:t>=DATEVALUE(XLOOKUP([@[Campaign_Name]],Table3[Campaign_Name],Table3[Start_Date]))</a:t>
            </a:r>
          </a:p>
          <a:p>
            <a:r>
              <a:rPr lang="en-US" sz="1100" b="1" baseline="0">
                <a:solidFill>
                  <a:schemeClr val="accent1"/>
                </a:solidFill>
                <a:effectLst/>
                <a:latin typeface="+mn-lt"/>
                <a:ea typeface="+mn-ea"/>
                <a:cs typeface="+mn-cs"/>
              </a:rPr>
              <a:t>End_Date</a:t>
            </a:r>
            <a:endParaRPr lang="en-US" sz="1100">
              <a:solidFill>
                <a:schemeClr val="accent1"/>
              </a:solidFill>
            </a:endParaRPr>
          </a:p>
          <a:p>
            <a:r>
              <a:rPr lang="en-US" sz="1100"/>
              <a:t>=DATEVALUE(XLOOKUP([@[Campaign_Name]],Table3[Campaign_Name],Table3[End_Date]))</a:t>
            </a:r>
          </a:p>
          <a:p>
            <a:endParaRPr lang="en-US" sz="1100"/>
          </a:p>
          <a:p>
            <a:endParaRPr lang="en-US" sz="1100"/>
          </a:p>
          <a:p>
            <a:r>
              <a:rPr lang="en-US" sz="1400" b="1">
                <a:solidFill>
                  <a:schemeClr val="accent1"/>
                </a:solidFill>
              </a:rPr>
              <a:t>• Nested IF with AND</a:t>
            </a:r>
          </a:p>
          <a:p>
            <a:endParaRPr lang="en-US" sz="1400" b="1">
              <a:solidFill>
                <a:schemeClr val="accent1"/>
              </a:solidFill>
            </a:endParaRPr>
          </a:p>
          <a:p>
            <a:r>
              <a:rPr lang="en-US" sz="1400" b="0">
                <a:solidFill>
                  <a:schemeClr val="tx1"/>
                </a:solidFill>
              </a:rPr>
              <a:t>=IF(</a:t>
            </a:r>
            <a:r>
              <a:rPr lang="en-US" sz="1400" b="0">
                <a:solidFill>
                  <a:srgbClr val="00B0F0"/>
                </a:solidFill>
              </a:rPr>
              <a:t>logical_test</a:t>
            </a:r>
            <a:r>
              <a:rPr lang="en-US" sz="1400" b="0">
                <a:solidFill>
                  <a:schemeClr val="tx1"/>
                </a:solidFill>
              </a:rPr>
              <a:t>, </a:t>
            </a:r>
            <a:r>
              <a:rPr lang="en-US" sz="1400" b="0">
                <a:solidFill>
                  <a:srgbClr val="FF0000"/>
                </a:solidFill>
              </a:rPr>
              <a:t>value_if_true</a:t>
            </a:r>
            <a:r>
              <a:rPr lang="en-US" sz="1400" b="0">
                <a:solidFill>
                  <a:schemeClr val="tx1"/>
                </a:solidFill>
              </a:rPr>
              <a:t>, IF(AND(</a:t>
            </a:r>
            <a:r>
              <a:rPr lang="en-US" sz="1400" b="0">
                <a:solidFill>
                  <a:srgbClr val="00B0F0"/>
                </a:solidFill>
              </a:rPr>
              <a:t>condition1</a:t>
            </a:r>
            <a:r>
              <a:rPr lang="en-US"/>
              <a:t>,</a:t>
            </a:r>
            <a:r>
              <a:rPr lang="en-US" sz="1400" b="0">
                <a:solidFill>
                  <a:srgbClr val="00B0F0"/>
                </a:solidFill>
              </a:rPr>
              <a:t> condition2</a:t>
            </a:r>
            <a:r>
              <a:rPr lang="en-US" sz="1400" b="0">
                <a:solidFill>
                  <a:schemeClr val="tx1"/>
                </a:solidFill>
              </a:rPr>
              <a:t>), </a:t>
            </a:r>
            <a:r>
              <a:rPr lang="en-US" sz="1400" b="0">
                <a:solidFill>
                  <a:srgbClr val="FF0000"/>
                </a:solidFill>
              </a:rPr>
              <a:t>value_if_true</a:t>
            </a:r>
            <a:r>
              <a:rPr lang="en-US" sz="1400" b="0">
                <a:solidFill>
                  <a:schemeClr val="tx1"/>
                </a:solidFill>
              </a:rPr>
              <a:t>,</a:t>
            </a:r>
            <a:r>
              <a:rPr lang="en-US" sz="1400" b="0">
                <a:solidFill>
                  <a:srgbClr val="FF0000"/>
                </a:solidFill>
              </a:rPr>
              <a:t> value_if_false</a:t>
            </a:r>
            <a:r>
              <a:rPr lang="en-US" sz="1400" b="0">
                <a:solidFill>
                  <a:schemeClr val="tx1"/>
                </a:solidFill>
              </a:rPr>
              <a:t>))</a:t>
            </a:r>
          </a:p>
          <a:p>
            <a:endParaRPr lang="en-US" sz="1400" b="1">
              <a:solidFill>
                <a:schemeClr val="accent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1"/>
                </a:solidFill>
              </a:rPr>
              <a:t>                                   </a:t>
            </a:r>
            <a:r>
              <a:rPr lang="en-US" sz="1400" b="0">
                <a:solidFill>
                  <a:schemeClr val="tx1"/>
                </a:solidFill>
              </a:rPr>
              <a:t>"</a:t>
            </a:r>
            <a:r>
              <a:rPr kumimoji="0" lang="en-US" sz="1200" b="0" i="0" u="none" strike="noStrike" kern="0" cap="none" spc="0" normalizeH="0" baseline="0" noProof="0">
                <a:ln>
                  <a:noFill/>
                </a:ln>
                <a:solidFill>
                  <a:srgbClr val="000000"/>
                </a:solidFill>
                <a:effectLst/>
                <a:uLnTx/>
                <a:uFillTx/>
                <a:latin typeface="+mn-lt"/>
                <a:cs typeface="+mn-cs"/>
              </a:rPr>
              <a:t>Before"          </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accent1"/>
                </a:solidFill>
              </a:rPr>
              <a:t>  </a:t>
            </a:r>
            <a:r>
              <a:rPr lang="en-US" sz="1200" b="0">
                <a:solidFill>
                  <a:schemeClr val="tx1"/>
                </a:solidFill>
              </a:rPr>
              <a:t>Date &lt; Start Date                                    </a:t>
            </a:r>
            <a:r>
              <a:rPr lang="en-US" sz="1100" b="0" i="0" baseline="0">
                <a:solidFill>
                  <a:schemeClr val="tx1"/>
                </a:solidFill>
                <a:effectLst/>
                <a:latin typeface="+mn-lt"/>
                <a:ea typeface="+mn-ea"/>
                <a:cs typeface="+mn-cs"/>
              </a:rPr>
              <a:t>Date&gt;=Start Date</a:t>
            </a:r>
            <a:r>
              <a:rPr lang="en-US" sz="1200" b="0" i="0" baseline="0">
                <a:solidFill>
                  <a:schemeClr val="tx1"/>
                </a:solidFill>
                <a:effectLst/>
                <a:latin typeface="+mn-lt"/>
                <a:ea typeface="+mn-ea"/>
                <a:cs typeface="+mn-cs"/>
              </a:rPr>
              <a:t>        Date&lt;=End Date</a:t>
            </a:r>
            <a:r>
              <a:rPr lang="en-US" sz="1200" b="0">
                <a:solidFill>
                  <a:schemeClr val="tx1"/>
                </a:solidFill>
              </a:rPr>
              <a:t>              </a:t>
            </a:r>
          </a:p>
          <a:p>
            <a:r>
              <a:rPr lang="en-US" sz="1400" b="1">
                <a:solidFill>
                  <a:schemeClr val="accent1"/>
                </a:solidFill>
              </a:rPr>
              <a:t>                                                                                                                                </a:t>
            </a:r>
            <a:r>
              <a:rPr lang="en-US" sz="1200" b="0">
                <a:solidFill>
                  <a:schemeClr val="tx1"/>
                </a:solidFill>
              </a:rPr>
              <a:t>"During"                   "After"</a:t>
            </a:r>
          </a:p>
          <a:p>
            <a:endParaRPr lang="en-US" sz="1400" b="1">
              <a:solidFill>
                <a:schemeClr val="accent1"/>
              </a:solidFill>
            </a:endParaRPr>
          </a:p>
          <a:p>
            <a:r>
              <a:rPr lang="en-US" sz="1200" b="1">
                <a:solidFill>
                  <a:schemeClr val="accent1"/>
                </a:solidFill>
              </a:rPr>
              <a:t>Applied Formula</a:t>
            </a:r>
            <a:r>
              <a:rPr lang="en-US" sz="1200" b="1" baseline="0">
                <a:solidFill>
                  <a:schemeClr val="accent1"/>
                </a:solidFill>
              </a:rPr>
              <a:t> </a:t>
            </a:r>
          </a:p>
          <a:p>
            <a:r>
              <a:rPr lang="en-US" sz="1200" b="0">
                <a:solidFill>
                  <a:schemeClr val="tx1"/>
                </a:solidFill>
              </a:rPr>
              <a:t>=IF</a:t>
            </a:r>
            <a:r>
              <a:rPr lang="en-US" sz="1200" b="0">
                <a:solidFill>
                  <a:srgbClr val="00B0F0"/>
                </a:solidFill>
              </a:rPr>
              <a:t>([@Date]</a:t>
            </a:r>
            <a:r>
              <a:rPr lang="en-US" sz="1200" b="0">
                <a:solidFill>
                  <a:schemeClr val="tx1"/>
                </a:solidFill>
              </a:rPr>
              <a:t> &lt; </a:t>
            </a:r>
            <a:r>
              <a:rPr lang="en-US" sz="1200" b="0">
                <a:solidFill>
                  <a:srgbClr val="FF0000"/>
                </a:solidFill>
              </a:rPr>
              <a:t>[@[Start_Date]]</a:t>
            </a:r>
            <a:r>
              <a:rPr lang="en-US" sz="1200" b="0">
                <a:solidFill>
                  <a:schemeClr val="tx1"/>
                </a:solidFill>
              </a:rPr>
              <a:t>, "Before",</a:t>
            </a:r>
            <a:r>
              <a:rPr lang="en-US" sz="1200" b="0" baseline="0">
                <a:solidFill>
                  <a:schemeClr val="tx1"/>
                </a:solidFill>
              </a:rPr>
              <a:t> </a:t>
            </a:r>
            <a:r>
              <a:rPr lang="en-US" sz="1200" b="0">
                <a:solidFill>
                  <a:schemeClr val="tx1"/>
                </a:solidFill>
              </a:rPr>
              <a:t>IF(AND</a:t>
            </a:r>
            <a:r>
              <a:rPr lang="en-US" sz="1200" b="0">
                <a:solidFill>
                  <a:srgbClr val="FF0000"/>
                </a:solidFill>
              </a:rPr>
              <a:t>(</a:t>
            </a:r>
            <a:r>
              <a:rPr lang="en-US" sz="1200" b="0">
                <a:solidFill>
                  <a:srgbClr val="00B0F0"/>
                </a:solidFill>
              </a:rPr>
              <a:t>[@Date] </a:t>
            </a:r>
            <a:r>
              <a:rPr lang="en-US" sz="1200" b="0">
                <a:solidFill>
                  <a:schemeClr val="tx1"/>
                </a:solidFill>
              </a:rPr>
              <a:t>&gt;= </a:t>
            </a:r>
            <a:r>
              <a:rPr lang="en-US" sz="1200" b="0">
                <a:solidFill>
                  <a:srgbClr val="FF0000"/>
                </a:solidFill>
              </a:rPr>
              <a:t>[@[Start_Date]], </a:t>
            </a:r>
            <a:r>
              <a:rPr lang="en-US" sz="1200" b="0">
                <a:solidFill>
                  <a:srgbClr val="00B0F0"/>
                </a:solidFill>
              </a:rPr>
              <a:t>[@Date] </a:t>
            </a:r>
            <a:r>
              <a:rPr lang="en-US" sz="1200" b="0">
                <a:solidFill>
                  <a:schemeClr val="tx1"/>
                </a:solidFill>
              </a:rPr>
              <a:t>&lt;= </a:t>
            </a:r>
            <a:r>
              <a:rPr lang="en-US" sz="1200" b="0">
                <a:solidFill>
                  <a:schemeClr val="accent4">
                    <a:lumMod val="75000"/>
                  </a:schemeClr>
                </a:solidFill>
              </a:rPr>
              <a:t>[@[End_Date]]), </a:t>
            </a:r>
            <a:r>
              <a:rPr lang="en-US" sz="1200" b="0">
                <a:solidFill>
                  <a:schemeClr val="tx1"/>
                </a:solidFill>
              </a:rPr>
              <a:t>"During",</a:t>
            </a:r>
          </a:p>
          <a:p>
            <a:r>
              <a:rPr lang="en-US" sz="1200" b="0">
                <a:solidFill>
                  <a:schemeClr val="tx1"/>
                </a:solidFill>
              </a:rPr>
              <a:t>   "After"</a:t>
            </a:r>
            <a:r>
              <a:rPr lang="en-US" sz="1200" b="0">
                <a:solidFill>
                  <a:srgbClr val="FF0000"/>
                </a:solidFill>
              </a:rPr>
              <a:t>)</a:t>
            </a:r>
            <a:r>
              <a:rPr lang="en-US" sz="1200" b="0">
                <a:solidFill>
                  <a:schemeClr val="tx1"/>
                </a:solidFill>
              </a:rPr>
              <a:t>)</a:t>
            </a:r>
          </a:p>
          <a:p>
            <a:endParaRPr lang="en-US" sz="1200" b="1">
              <a:solidFill>
                <a:schemeClr val="accent1"/>
              </a:solidFill>
            </a:endParaRPr>
          </a:p>
        </xdr:txBody>
      </xdr:sp>
      <xdr:cxnSp macro="">
        <xdr:nvCxnSpPr>
          <xdr:cNvPr id="25" name="Straight Arrow Connector 24">
            <a:extLst>
              <a:ext uri="{FF2B5EF4-FFF2-40B4-BE49-F238E27FC236}">
                <a16:creationId xmlns:a16="http://schemas.microsoft.com/office/drawing/2014/main" id="{FC0D3837-9EBC-4BF8-9997-2471A9B5BC2D}"/>
              </a:ext>
            </a:extLst>
          </xdr:cNvPr>
          <xdr:cNvCxnSpPr/>
        </xdr:nvCxnSpPr>
        <xdr:spPr>
          <a:xfrm>
            <a:off x="13274922" y="5215345"/>
            <a:ext cx="126754" cy="328205"/>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26" name="Straight Arrow Connector 25">
            <a:extLst>
              <a:ext uri="{FF2B5EF4-FFF2-40B4-BE49-F238E27FC236}">
                <a16:creationId xmlns:a16="http://schemas.microsoft.com/office/drawing/2014/main" id="{673F47F5-5DCC-4682-8984-DDBB3183599B}"/>
              </a:ext>
            </a:extLst>
          </xdr:cNvPr>
          <xdr:cNvCxnSpPr/>
        </xdr:nvCxnSpPr>
        <xdr:spPr>
          <a:xfrm>
            <a:off x="14307676" y="5256206"/>
            <a:ext cx="798974" cy="258769"/>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28" name="Straight Arrow Connector 27">
            <a:extLst>
              <a:ext uri="{FF2B5EF4-FFF2-40B4-BE49-F238E27FC236}">
                <a16:creationId xmlns:a16="http://schemas.microsoft.com/office/drawing/2014/main" id="{B9BDA821-C59C-4F07-A7C7-D6C2251ED14A}"/>
              </a:ext>
            </a:extLst>
          </xdr:cNvPr>
          <xdr:cNvCxnSpPr/>
        </xdr:nvCxnSpPr>
        <xdr:spPr>
          <a:xfrm>
            <a:off x="14964883" y="5228965"/>
            <a:ext cx="2018192" cy="324110"/>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0E44E969-CEDB-4901-B8B2-0B13D0143A84}"/>
              </a:ext>
            </a:extLst>
          </xdr:cNvPr>
          <xdr:cNvCxnSpPr/>
        </xdr:nvCxnSpPr>
        <xdr:spPr>
          <a:xfrm flipH="1">
            <a:off x="12496800" y="7820025"/>
            <a:ext cx="228600" cy="409575"/>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47" name="Straight Arrow Connector 46">
            <a:extLst>
              <a:ext uri="{FF2B5EF4-FFF2-40B4-BE49-F238E27FC236}">
                <a16:creationId xmlns:a16="http://schemas.microsoft.com/office/drawing/2014/main" id="{4417B19A-EDFA-48A1-B9D8-DDB6B8F89E81}"/>
              </a:ext>
            </a:extLst>
          </xdr:cNvPr>
          <xdr:cNvCxnSpPr/>
        </xdr:nvCxnSpPr>
        <xdr:spPr>
          <a:xfrm>
            <a:off x="13630276" y="7781925"/>
            <a:ext cx="9524" cy="200025"/>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48" name="Straight Arrow Connector 47">
            <a:extLst>
              <a:ext uri="{FF2B5EF4-FFF2-40B4-BE49-F238E27FC236}">
                <a16:creationId xmlns:a16="http://schemas.microsoft.com/office/drawing/2014/main" id="{DBBB4E27-AD4A-4971-A702-A11DDA468D17}"/>
              </a:ext>
            </a:extLst>
          </xdr:cNvPr>
          <xdr:cNvCxnSpPr/>
        </xdr:nvCxnSpPr>
        <xdr:spPr>
          <a:xfrm flipH="1">
            <a:off x="14878050" y="7800975"/>
            <a:ext cx="133350" cy="400050"/>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49" name="Straight Arrow Connector 48">
            <a:extLst>
              <a:ext uri="{FF2B5EF4-FFF2-40B4-BE49-F238E27FC236}">
                <a16:creationId xmlns:a16="http://schemas.microsoft.com/office/drawing/2014/main" id="{A25B046E-FF8C-4EAC-B980-1993351F5366}"/>
              </a:ext>
            </a:extLst>
          </xdr:cNvPr>
          <xdr:cNvCxnSpPr/>
        </xdr:nvCxnSpPr>
        <xdr:spPr>
          <a:xfrm>
            <a:off x="16906875" y="7829550"/>
            <a:ext cx="76200" cy="371475"/>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id="{A772EBFA-0932-498C-9469-64B498887B73}"/>
              </a:ext>
            </a:extLst>
          </xdr:cNvPr>
          <xdr:cNvCxnSpPr/>
        </xdr:nvCxnSpPr>
        <xdr:spPr>
          <a:xfrm>
            <a:off x="17345025" y="7905750"/>
            <a:ext cx="28575" cy="533400"/>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51" name="Straight Arrow Connector 50">
            <a:extLst>
              <a:ext uri="{FF2B5EF4-FFF2-40B4-BE49-F238E27FC236}">
                <a16:creationId xmlns:a16="http://schemas.microsoft.com/office/drawing/2014/main" id="{3A409487-2693-452D-9BC2-9E84BFC68234}"/>
              </a:ext>
            </a:extLst>
          </xdr:cNvPr>
          <xdr:cNvCxnSpPr/>
        </xdr:nvCxnSpPr>
        <xdr:spPr>
          <a:xfrm>
            <a:off x="18164175" y="7829550"/>
            <a:ext cx="457200" cy="600075"/>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30</xdr:col>
      <xdr:colOff>39160</xdr:colOff>
      <xdr:row>71</xdr:row>
      <xdr:rowOff>80435</xdr:rowOff>
    </xdr:from>
    <xdr:ext cx="3533775" cy="2066924"/>
    <xdr:sp macro="" textlink="">
      <xdr:nvSpPr>
        <xdr:cNvPr id="3" name="TextBox 2">
          <a:extLst>
            <a:ext uri="{FF2B5EF4-FFF2-40B4-BE49-F238E27FC236}">
              <a16:creationId xmlns:a16="http://schemas.microsoft.com/office/drawing/2014/main" id="{ECDFBC8D-6FCD-45FF-A0D2-987834C4BBFD}"/>
            </a:ext>
          </a:extLst>
        </xdr:cNvPr>
        <xdr:cNvSpPr txBox="1"/>
      </xdr:nvSpPr>
      <xdr:spPr>
        <a:xfrm>
          <a:off x="31249410" y="13944602"/>
          <a:ext cx="3533775" cy="206692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=INDEX(Table2[campign name],MATCH(MAX(IF(Table2[campign name]&lt;&gt;"No Campign",Table2[net followers grth])),Table2[net followers grth],0))</a:t>
          </a:r>
        </a:p>
      </xdr:txBody>
    </xdr:sp>
    <xdr:clientData/>
  </xdr:oneCellAnchor>
  <xdr:twoCellAnchor>
    <xdr:from>
      <xdr:col>12</xdr:col>
      <xdr:colOff>452776</xdr:colOff>
      <xdr:row>4</xdr:row>
      <xdr:rowOff>204106</xdr:rowOff>
    </xdr:from>
    <xdr:to>
      <xdr:col>15</xdr:col>
      <xdr:colOff>133349</xdr:colOff>
      <xdr:row>20</xdr:row>
      <xdr:rowOff>28575</xdr:rowOff>
    </xdr:to>
    <xdr:sp macro="" textlink="">
      <xdr:nvSpPr>
        <xdr:cNvPr id="8" name="TextBox 7">
          <a:extLst>
            <a:ext uri="{FF2B5EF4-FFF2-40B4-BE49-F238E27FC236}">
              <a16:creationId xmlns:a16="http://schemas.microsoft.com/office/drawing/2014/main" id="{ADEF4342-C160-47C1-B3B6-A82DA7D9C337}"/>
            </a:ext>
          </a:extLst>
        </xdr:cNvPr>
        <xdr:cNvSpPr txBox="1"/>
      </xdr:nvSpPr>
      <xdr:spPr>
        <a:xfrm>
          <a:off x="13749676" y="975631"/>
          <a:ext cx="3757273" cy="3082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B0F0"/>
              </a:solidFill>
            </a:rPr>
            <a:t>Campaign Effectiveness</a:t>
          </a:r>
        </a:p>
        <a:p>
          <a:r>
            <a:rPr lang="en-US" sz="1600"/>
            <a:t>● Compute: </a:t>
          </a:r>
        </a:p>
        <a:p>
          <a:r>
            <a:rPr lang="en-US" sz="1600"/>
            <a:t>         ○ Total &amp; average impressions, likes,             </a:t>
          </a:r>
          <a:endParaRPr lang="en-US" sz="1600" baseline="0"/>
        </a:p>
        <a:p>
          <a:r>
            <a:rPr lang="en-US" sz="1600" baseline="0"/>
            <a:t>             </a:t>
          </a:r>
          <a:r>
            <a:rPr lang="en-US" sz="1600"/>
            <a:t>clicks per campaign </a:t>
          </a:r>
        </a:p>
        <a:p>
          <a:r>
            <a:rPr lang="en-US" sz="1600"/>
            <a:t>         ○ Engagement uplift during vs. before </a:t>
          </a:r>
          <a:r>
            <a:rPr lang="en-US" sz="1600" baseline="0"/>
            <a:t>  </a:t>
          </a:r>
        </a:p>
        <a:p>
          <a:r>
            <a:rPr lang="en-US" sz="1600" baseline="0"/>
            <a:t>             </a:t>
          </a:r>
          <a:r>
            <a:rPr lang="en-US" sz="1600"/>
            <a:t>campaign</a:t>
          </a:r>
        </a:p>
        <a:p>
          <a:r>
            <a:rPr lang="en-US" sz="1600"/>
            <a:t>● Evaluate: </a:t>
          </a:r>
        </a:p>
        <a:p>
          <a:r>
            <a:rPr lang="en-US" sz="1600"/>
            <a:t>         ○ Campaign with highest ROI </a:t>
          </a:r>
        </a:p>
        <a:p>
          <a:r>
            <a:rPr lang="en-US" sz="1600"/>
            <a:t>            (engagement/ad spend) </a:t>
          </a:r>
        </a:p>
        <a:p>
          <a:r>
            <a:rPr lang="en-US" sz="1600"/>
            <a:t>         ○ Campaign with strongest follower     </a:t>
          </a:r>
        </a:p>
        <a:p>
          <a:r>
            <a:rPr lang="en-US" sz="1600"/>
            <a:t>              growth</a:t>
          </a:r>
        </a:p>
        <a:p>
          <a:endParaRPr lang="en-US" sz="1600" b="1">
            <a:solidFill>
              <a:srgbClr val="00B0F0"/>
            </a:solidFill>
          </a:endParaRPr>
        </a:p>
      </xdr:txBody>
    </xdr:sp>
    <xdr:clientData/>
  </xdr:twoCellAnchor>
  <xdr:twoCellAnchor>
    <xdr:from>
      <xdr:col>12</xdr:col>
      <xdr:colOff>472017</xdr:colOff>
      <xdr:row>71</xdr:row>
      <xdr:rowOff>99483</xdr:rowOff>
    </xdr:from>
    <xdr:to>
      <xdr:col>18</xdr:col>
      <xdr:colOff>227542</xdr:colOff>
      <xdr:row>80</xdr:row>
      <xdr:rowOff>95250</xdr:rowOff>
    </xdr:to>
    <xdr:sp macro="" textlink="">
      <xdr:nvSpPr>
        <xdr:cNvPr id="9" name="TextBox 8">
          <a:extLst>
            <a:ext uri="{FF2B5EF4-FFF2-40B4-BE49-F238E27FC236}">
              <a16:creationId xmlns:a16="http://schemas.microsoft.com/office/drawing/2014/main" id="{0BD97710-9315-40DE-BE19-3DEF82088C2F}"/>
            </a:ext>
          </a:extLst>
        </xdr:cNvPr>
        <xdr:cNvSpPr txBox="1"/>
      </xdr:nvSpPr>
      <xdr:spPr>
        <a:xfrm>
          <a:off x="13768917" y="13958358"/>
          <a:ext cx="10280650" cy="1710267"/>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effectLst/>
              <a:latin typeface="+mn-lt"/>
              <a:ea typeface="+mn-ea"/>
              <a:cs typeface="+mn-cs"/>
            </a:rPr>
            <a:t>Campaign With Strongest Follower</a:t>
          </a:r>
          <a:r>
            <a:rPr lang="en-US" sz="1600" b="1" baseline="0">
              <a:solidFill>
                <a:srgbClr val="FF0000"/>
              </a:solidFill>
              <a:effectLst/>
              <a:latin typeface="+mn-lt"/>
              <a:ea typeface="+mn-ea"/>
              <a:cs typeface="+mn-cs"/>
            </a:rPr>
            <a:t> G</a:t>
          </a:r>
          <a:r>
            <a:rPr lang="en-US" sz="1600" b="1">
              <a:solidFill>
                <a:srgbClr val="FF0000"/>
              </a:solidFill>
              <a:effectLst/>
              <a:latin typeface="+mn-lt"/>
              <a:ea typeface="+mn-ea"/>
              <a:cs typeface="+mn-cs"/>
            </a:rPr>
            <a:t>rowth:</a:t>
          </a:r>
          <a:endParaRPr lang="en-US" sz="2000" b="1">
            <a:solidFill>
              <a:srgbClr val="FF0000"/>
            </a:solidFill>
            <a:effectLst/>
          </a:endParaRPr>
        </a:p>
        <a:p>
          <a:endParaRPr lang="en-US" sz="1400"/>
        </a:p>
        <a:p>
          <a:r>
            <a:rPr lang="en-US" sz="1400"/>
            <a:t>=INDEX(Table2[campign name],</a:t>
          </a:r>
        </a:p>
        <a:p>
          <a:r>
            <a:rPr lang="en-US" sz="1400"/>
            <a:t>   MATCH(MAX(SUMIFS(</a:t>
          </a:r>
          <a:r>
            <a:rPr lang="en-US" sz="1400">
              <a:solidFill>
                <a:srgbClr val="C00000"/>
              </a:solidFill>
            </a:rPr>
            <a:t>Table2[net followers grth]</a:t>
          </a:r>
          <a:r>
            <a:rPr lang="en-US" sz="1400">
              <a:solidFill>
                <a:sysClr val="windowText" lastClr="000000"/>
              </a:solidFill>
            </a:rPr>
            <a:t>,</a:t>
          </a:r>
          <a:r>
            <a:rPr lang="en-US" sz="1400">
              <a:solidFill>
                <a:srgbClr val="00B0F0"/>
              </a:solidFill>
            </a:rPr>
            <a:t>Table2[campign name]</a:t>
          </a:r>
          <a:r>
            <a:rPr lang="en-US" sz="1400"/>
            <a:t>,</a:t>
          </a:r>
          <a:r>
            <a:rPr lang="en-US" sz="1400">
              <a:solidFill>
                <a:srgbClr val="00B0F0"/>
              </a:solidFill>
            </a:rPr>
            <a:t>Table2[campign name]</a:t>
          </a:r>
          <a:r>
            <a:rPr lang="en-US" sz="1400"/>
            <a:t>) *(</a:t>
          </a:r>
          <a:r>
            <a:rPr lang="en-US" sz="1400">
              <a:solidFill>
                <a:srgbClr val="00B0F0"/>
              </a:solidFill>
            </a:rPr>
            <a:t>Table2[campign name]</a:t>
          </a:r>
          <a:r>
            <a:rPr lang="en-US" sz="1400"/>
            <a:t>&lt;&gt;"No Campign")),</a:t>
          </a:r>
        </a:p>
        <a:p>
          <a:r>
            <a:rPr lang="en-US" sz="1400"/>
            <a:t>   SUMIFS(</a:t>
          </a:r>
          <a:r>
            <a:rPr lang="en-US" sz="1400">
              <a:solidFill>
                <a:srgbClr val="C00000"/>
              </a:solidFill>
            </a:rPr>
            <a:t>Table2[net followers grth]</a:t>
          </a:r>
          <a:r>
            <a:rPr lang="en-US" sz="1400"/>
            <a:t>,</a:t>
          </a:r>
          <a:r>
            <a:rPr lang="en-US" sz="1400">
              <a:solidFill>
                <a:srgbClr val="00B0F0"/>
              </a:solidFill>
            </a:rPr>
            <a:t>Table2[campign name]</a:t>
          </a:r>
          <a:r>
            <a:rPr lang="en-US" sz="1400"/>
            <a:t>,</a:t>
          </a:r>
          <a:r>
            <a:rPr lang="en-US" sz="1400">
              <a:solidFill>
                <a:srgbClr val="00B0F0"/>
              </a:solidFill>
            </a:rPr>
            <a:t>Table2[campign name]</a:t>
          </a:r>
          <a:r>
            <a:rPr lang="en-US" sz="1400"/>
            <a:t>) * (</a:t>
          </a:r>
          <a:r>
            <a:rPr lang="en-US" sz="1400">
              <a:solidFill>
                <a:srgbClr val="00B0F0"/>
              </a:solidFill>
            </a:rPr>
            <a:t>Table2[campign name]</a:t>
          </a:r>
          <a:r>
            <a:rPr lang="en-US" sz="1400"/>
            <a:t>&lt;&gt;"No Campign"),0))</a:t>
          </a:r>
        </a:p>
        <a:p>
          <a:endParaRPr lang="en-US" sz="1400"/>
        </a:p>
        <a:p>
          <a:endParaRPr lang="en-US" sz="1100"/>
        </a:p>
      </xdr:txBody>
    </xdr:sp>
    <xdr:clientData/>
  </xdr:twoCellAnchor>
  <xdr:twoCellAnchor>
    <xdr:from>
      <xdr:col>14</xdr:col>
      <xdr:colOff>1552575</xdr:colOff>
      <xdr:row>68</xdr:row>
      <xdr:rowOff>57151</xdr:rowOff>
    </xdr:from>
    <xdr:to>
      <xdr:col>15</xdr:col>
      <xdr:colOff>647700</xdr:colOff>
      <xdr:row>73</xdr:row>
      <xdr:rowOff>28575</xdr:rowOff>
    </xdr:to>
    <xdr:cxnSp macro="">
      <xdr:nvCxnSpPr>
        <xdr:cNvPr id="6" name="Straight Arrow Connector 5">
          <a:extLst>
            <a:ext uri="{FF2B5EF4-FFF2-40B4-BE49-F238E27FC236}">
              <a16:creationId xmlns:a16="http://schemas.microsoft.com/office/drawing/2014/main" id="{C79D7024-EB4A-4ED1-A4FB-3571EED54DF2}"/>
            </a:ext>
          </a:extLst>
        </xdr:cNvPr>
        <xdr:cNvCxnSpPr/>
      </xdr:nvCxnSpPr>
      <xdr:spPr>
        <a:xfrm flipV="1">
          <a:off x="17335500" y="13344526"/>
          <a:ext cx="685800" cy="923924"/>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455081</xdr:colOff>
      <xdr:row>71</xdr:row>
      <xdr:rowOff>21167</xdr:rowOff>
    </xdr:from>
    <xdr:to>
      <xdr:col>10</xdr:col>
      <xdr:colOff>508000</xdr:colOff>
      <xdr:row>81</xdr:row>
      <xdr:rowOff>95250</xdr:rowOff>
    </xdr:to>
    <xdr:sp macro="" textlink="">
      <xdr:nvSpPr>
        <xdr:cNvPr id="10" name="TextBox 9">
          <a:extLst>
            <a:ext uri="{FF2B5EF4-FFF2-40B4-BE49-F238E27FC236}">
              <a16:creationId xmlns:a16="http://schemas.microsoft.com/office/drawing/2014/main" id="{60BDF297-8F0F-4324-BA71-0F9D6C86D422}"/>
            </a:ext>
          </a:extLst>
        </xdr:cNvPr>
        <xdr:cNvSpPr txBox="1"/>
      </xdr:nvSpPr>
      <xdr:spPr>
        <a:xfrm>
          <a:off x="2137831" y="13885334"/>
          <a:ext cx="9514419" cy="197908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1800" b="1" i="0" u="none" strike="noStrike" kern="0" cap="none" spc="0" normalizeH="0" baseline="0" noProof="0">
              <a:ln>
                <a:noFill/>
              </a:ln>
              <a:solidFill>
                <a:srgbClr val="FF0000"/>
              </a:solidFill>
              <a:effectLst/>
              <a:uLnTx/>
              <a:uFillTx/>
              <a:latin typeface="+mn-lt"/>
              <a:cs typeface="+mn-cs"/>
            </a:rPr>
            <a:t>Campaign With Highest ROI </a:t>
          </a:r>
          <a:endParaRPr lang="en-US" sz="1600" b="1">
            <a:solidFill>
              <a:srgbClr val="FF0000"/>
            </a:solidFill>
          </a:endParaRPr>
        </a:p>
        <a:p>
          <a:endParaRPr lang="en-US" sz="1400"/>
        </a:p>
        <a:p>
          <a:r>
            <a:rPr lang="en-US" sz="1400"/>
            <a:t>=INDEX(Table2[campign name],</a:t>
          </a:r>
        </a:p>
        <a:p>
          <a:r>
            <a:rPr lang="en-US" sz="1400"/>
            <a:t>  MATCH(MAX(SUMIFS(</a:t>
          </a:r>
          <a:r>
            <a:rPr lang="en-US" sz="1400">
              <a:solidFill>
                <a:srgbClr val="C00000"/>
              </a:solidFill>
            </a:rPr>
            <a:t>Table2[ROI]</a:t>
          </a:r>
          <a:r>
            <a:rPr lang="en-US" sz="1400">
              <a:solidFill>
                <a:schemeClr val="tx1"/>
              </a:solidFill>
            </a:rPr>
            <a:t>,</a:t>
          </a:r>
          <a:r>
            <a:rPr lang="en-US" sz="1400">
              <a:solidFill>
                <a:srgbClr val="00B0F0"/>
              </a:solidFill>
            </a:rPr>
            <a:t>Table2[campign name]</a:t>
          </a:r>
          <a:r>
            <a:rPr lang="en-US" sz="1400"/>
            <a:t>,</a:t>
          </a:r>
          <a:r>
            <a:rPr lang="en-US" sz="1400">
              <a:solidFill>
                <a:srgbClr val="00B0F0"/>
              </a:solidFill>
            </a:rPr>
            <a:t>Table2[campign name]</a:t>
          </a:r>
          <a:r>
            <a:rPr lang="en-US" sz="1400"/>
            <a:t>) *(</a:t>
          </a:r>
          <a:r>
            <a:rPr lang="en-US" sz="1400">
              <a:solidFill>
                <a:srgbClr val="00B0F0"/>
              </a:solidFill>
            </a:rPr>
            <a:t>Table2[campign name]</a:t>
          </a:r>
          <a:r>
            <a:rPr lang="en-US" sz="1400"/>
            <a:t>&lt;&gt;"No Campign")),</a:t>
          </a:r>
        </a:p>
        <a:p>
          <a:r>
            <a:rPr lang="en-US" sz="1400"/>
            <a:t>  SUMIFS</a:t>
          </a:r>
          <a:r>
            <a:rPr lang="en-US" sz="1400">
              <a:solidFill>
                <a:schemeClr val="tx1"/>
              </a:solidFill>
            </a:rPr>
            <a:t>(</a:t>
          </a:r>
          <a:r>
            <a:rPr lang="en-US" sz="1400">
              <a:solidFill>
                <a:srgbClr val="C00000"/>
              </a:solidFill>
            </a:rPr>
            <a:t>Table2[ROI]</a:t>
          </a:r>
          <a:r>
            <a:rPr lang="en-US" sz="1400">
              <a:solidFill>
                <a:schemeClr val="tx1"/>
              </a:solidFill>
            </a:rPr>
            <a:t>,</a:t>
          </a:r>
          <a:r>
            <a:rPr lang="en-US" sz="1400">
              <a:solidFill>
                <a:srgbClr val="00B0F0"/>
              </a:solidFill>
            </a:rPr>
            <a:t>Table2[campign name]</a:t>
          </a:r>
          <a:r>
            <a:rPr lang="en-US" sz="1400"/>
            <a:t>,</a:t>
          </a:r>
          <a:r>
            <a:rPr lang="en-US" sz="1400">
              <a:solidFill>
                <a:srgbClr val="00B0F0"/>
              </a:solidFill>
            </a:rPr>
            <a:t>Table2[campign name]</a:t>
          </a:r>
          <a:r>
            <a:rPr lang="en-US" sz="1400"/>
            <a:t>) * (</a:t>
          </a:r>
          <a:r>
            <a:rPr lang="en-US" sz="1400">
              <a:solidFill>
                <a:srgbClr val="00B0F0"/>
              </a:solidFill>
            </a:rPr>
            <a:t>Table2[campign name]</a:t>
          </a:r>
          <a:r>
            <a:rPr lang="en-US" sz="1400"/>
            <a:t>&lt;&gt;"No Campign"),0))</a:t>
          </a:r>
          <a:endParaRPr lang="en-US" sz="1100"/>
        </a:p>
      </xdr:txBody>
    </xdr:sp>
    <xdr:clientData/>
  </xdr:twoCellAnchor>
  <xdr:twoCellAnchor>
    <xdr:from>
      <xdr:col>5</xdr:col>
      <xdr:colOff>1133475</xdr:colOff>
      <xdr:row>69</xdr:row>
      <xdr:rowOff>26459</xdr:rowOff>
    </xdr:from>
    <xdr:to>
      <xdr:col>6</xdr:col>
      <xdr:colOff>291043</xdr:colOff>
      <xdr:row>73</xdr:row>
      <xdr:rowOff>85725</xdr:rowOff>
    </xdr:to>
    <xdr:cxnSp macro="">
      <xdr:nvCxnSpPr>
        <xdr:cNvPr id="24" name="Straight Arrow Connector 23">
          <a:extLst>
            <a:ext uri="{FF2B5EF4-FFF2-40B4-BE49-F238E27FC236}">
              <a16:creationId xmlns:a16="http://schemas.microsoft.com/office/drawing/2014/main" id="{B1A3EB4F-4305-4CCE-814C-9DE386C74596}"/>
            </a:ext>
          </a:extLst>
        </xdr:cNvPr>
        <xdr:cNvCxnSpPr/>
      </xdr:nvCxnSpPr>
      <xdr:spPr>
        <a:xfrm flipV="1">
          <a:off x="6334125" y="13504334"/>
          <a:ext cx="757768" cy="821266"/>
        </a:xfrm>
        <a:prstGeom prst="straightConnector1">
          <a:avLst/>
        </a:prstGeom>
        <a:ln>
          <a:solidFill>
            <a:schemeClr val="tx1"/>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28575</xdr:colOff>
      <xdr:row>16</xdr:row>
      <xdr:rowOff>100012</xdr:rowOff>
    </xdr:from>
    <xdr:to>
      <xdr:col>9</xdr:col>
      <xdr:colOff>628650</xdr:colOff>
      <xdr:row>29</xdr:row>
      <xdr:rowOff>47625</xdr:rowOff>
    </xdr:to>
    <xdr:graphicFrame macro="">
      <xdr:nvGraphicFramePr>
        <xdr:cNvPr id="4" name="Chart 3">
          <a:extLst>
            <a:ext uri="{FF2B5EF4-FFF2-40B4-BE49-F238E27FC236}">
              <a16:creationId xmlns:a16="http://schemas.microsoft.com/office/drawing/2014/main" id="{6F0E6E04-5FD3-4871-868B-81AB77987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13</xdr:row>
      <xdr:rowOff>9525</xdr:rowOff>
    </xdr:from>
    <xdr:to>
      <xdr:col>9</xdr:col>
      <xdr:colOff>1428750</xdr:colOff>
      <xdr:row>16</xdr:row>
      <xdr:rowOff>123825</xdr:rowOff>
    </xdr:to>
    <xdr:sp macro="" textlink="">
      <xdr:nvSpPr>
        <xdr:cNvPr id="3" name="TextBox 2">
          <a:extLst>
            <a:ext uri="{FF2B5EF4-FFF2-40B4-BE49-F238E27FC236}">
              <a16:creationId xmlns:a16="http://schemas.microsoft.com/office/drawing/2014/main" id="{CBA1FCA5-409E-4494-B425-947F8E98A848}"/>
            </a:ext>
          </a:extLst>
        </xdr:cNvPr>
        <xdr:cNvSpPr txBox="1"/>
      </xdr:nvSpPr>
      <xdr:spPr>
        <a:xfrm>
          <a:off x="8258175" y="2514600"/>
          <a:ext cx="36195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=CORREL('Engagement Summary'!H:H,'Engagement Summary'!E:E)</a:t>
          </a:r>
        </a:p>
      </xdr:txBody>
    </xdr:sp>
    <xdr:clientData/>
  </xdr:twoCellAnchor>
  <xdr:twoCellAnchor>
    <xdr:from>
      <xdr:col>7</xdr:col>
      <xdr:colOff>9525</xdr:colOff>
      <xdr:row>3</xdr:row>
      <xdr:rowOff>9525</xdr:rowOff>
    </xdr:from>
    <xdr:to>
      <xdr:col>9</xdr:col>
      <xdr:colOff>1381125</xdr:colOff>
      <xdr:row>8</xdr:row>
      <xdr:rowOff>171450</xdr:rowOff>
    </xdr:to>
    <xdr:sp macro="" textlink="">
      <xdr:nvSpPr>
        <xdr:cNvPr id="2" name="TextBox 1">
          <a:extLst>
            <a:ext uri="{FF2B5EF4-FFF2-40B4-BE49-F238E27FC236}">
              <a16:creationId xmlns:a16="http://schemas.microsoft.com/office/drawing/2014/main" id="{68956345-8D03-4027-B847-7554D611F9FA}"/>
            </a:ext>
          </a:extLst>
        </xdr:cNvPr>
        <xdr:cNvSpPr txBox="1"/>
      </xdr:nvSpPr>
      <xdr:spPr>
        <a:xfrm>
          <a:off x="8267700" y="581025"/>
          <a:ext cx="3562350"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=XLOOKUP(MAX(Table2[New_Followers]),Table2[New_Followers],Table2[Week_Start_Date])</a:t>
          </a:r>
        </a:p>
      </xdr:txBody>
    </xdr:sp>
    <xdr:clientData/>
  </xdr:twoCellAnchor>
  <xdr:oneCellAnchor>
    <xdr:from>
      <xdr:col>9</xdr:col>
      <xdr:colOff>495300</xdr:colOff>
      <xdr:row>16</xdr:row>
      <xdr:rowOff>47625</xdr:rowOff>
    </xdr:from>
    <xdr:ext cx="3686175" cy="2675732"/>
    <xdr:sp macro="" textlink="">
      <xdr:nvSpPr>
        <xdr:cNvPr id="5" name="TextBox 4">
          <a:extLst>
            <a:ext uri="{FF2B5EF4-FFF2-40B4-BE49-F238E27FC236}">
              <a16:creationId xmlns:a16="http://schemas.microsoft.com/office/drawing/2014/main" id="{0F73C289-608B-4B8B-A61F-3FCCE6B254F3}"/>
            </a:ext>
          </a:extLst>
        </xdr:cNvPr>
        <xdr:cNvSpPr txBox="1"/>
      </xdr:nvSpPr>
      <xdr:spPr>
        <a:xfrm>
          <a:off x="10944225" y="3124200"/>
          <a:ext cx="3686175" cy="26757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t>R² = 0.0003 = 0.03%</a:t>
          </a:r>
          <a:endParaRPr lang="en-US"/>
        </a:p>
        <a:p>
          <a:r>
            <a:rPr lang="en-US"/>
            <a:t>This is extremely close to </a:t>
          </a:r>
          <a:r>
            <a:rPr lang="en-US" b="1"/>
            <a:t>0</a:t>
          </a:r>
          <a:r>
            <a:rPr lang="en-US"/>
            <a:t>.</a:t>
          </a:r>
        </a:p>
        <a:p>
          <a:r>
            <a:rPr lang="en-US"/>
            <a:t>The trendline is basically flat.</a:t>
          </a:r>
        </a:p>
        <a:p>
          <a:r>
            <a:rPr lang="en-US"/>
            <a:t>It means </a:t>
          </a:r>
          <a:r>
            <a:rPr lang="en-US" b="1"/>
            <a:t>Ad Spend has almost no relationship</a:t>
          </a:r>
          <a:r>
            <a:rPr lang="en-US"/>
            <a:t> with Follower Growth</a:t>
          </a:r>
        </a:p>
        <a:p>
          <a:endParaRPr lang="en-US"/>
        </a:p>
        <a:p>
          <a:r>
            <a:rPr lang="en-US"/>
            <a:t>Increasing or decreasing Ad Spend is </a:t>
          </a:r>
          <a:r>
            <a:rPr lang="en-US" b="1"/>
            <a:t>not influencing the outcome variable</a:t>
          </a:r>
          <a:r>
            <a:rPr lang="en-US"/>
            <a:t>.</a:t>
          </a:r>
        </a:p>
        <a:p>
          <a:endParaRPr lang="en-US"/>
        </a:p>
        <a:p>
          <a:r>
            <a:rPr lang="en-US"/>
            <a:t>“The correlation analysis between Ad Spend and Follower Growth shows an R² value of 0.0003, indicating that ad spend has virtually no impact on follower growth. This suggests that other factors, such as content type or platform engagement strategies, may be driving growth instead of paid investment.”</a:t>
          </a:r>
          <a:endParaRPr lang="en-US" sz="1100"/>
        </a:p>
      </xdr:txBody>
    </xdr:sp>
    <xdr:clientData/>
  </xdr:oneCellAnchor>
  <xdr:twoCellAnchor>
    <xdr:from>
      <xdr:col>6</xdr:col>
      <xdr:colOff>57150</xdr:colOff>
      <xdr:row>37</xdr:row>
      <xdr:rowOff>23812</xdr:rowOff>
    </xdr:from>
    <xdr:to>
      <xdr:col>11</xdr:col>
      <xdr:colOff>409575</xdr:colOff>
      <xdr:row>60</xdr:row>
      <xdr:rowOff>66676</xdr:rowOff>
    </xdr:to>
    <xdr:graphicFrame macro="">
      <xdr:nvGraphicFramePr>
        <xdr:cNvPr id="6" name="Chart 2">
          <a:extLst>
            <a:ext uri="{FF2B5EF4-FFF2-40B4-BE49-F238E27FC236}">
              <a16:creationId xmlns:a16="http://schemas.microsoft.com/office/drawing/2014/main" id="{D443028A-2B42-4E02-A12D-1339902F5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1352549</xdr:colOff>
      <xdr:row>36</xdr:row>
      <xdr:rowOff>76200</xdr:rowOff>
    </xdr:from>
    <xdr:to>
      <xdr:col>12</xdr:col>
      <xdr:colOff>790575</xdr:colOff>
      <xdr:row>45</xdr:row>
      <xdr:rowOff>0</xdr:rowOff>
    </xdr:to>
    <xdr:sp macro="" textlink="">
      <xdr:nvSpPr>
        <xdr:cNvPr id="7" name="TextBox 6">
          <a:extLst>
            <a:ext uri="{FF2B5EF4-FFF2-40B4-BE49-F238E27FC236}">
              <a16:creationId xmlns:a16="http://schemas.microsoft.com/office/drawing/2014/main" id="{CFDB616F-AF33-417E-A78A-63F2F7531D72}"/>
            </a:ext>
          </a:extLst>
        </xdr:cNvPr>
        <xdr:cNvSpPr txBox="1"/>
      </xdr:nvSpPr>
      <xdr:spPr>
        <a:xfrm>
          <a:off x="11801474" y="6972300"/>
          <a:ext cx="3333751"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a:p>
          <a:r>
            <a:rPr lang="en-US"/>
            <a:t>The blue</a:t>
          </a:r>
          <a:r>
            <a:rPr lang="en-US" baseline="0"/>
            <a:t> line shows </a:t>
          </a:r>
          <a:r>
            <a:rPr lang="en-US"/>
            <a:t>original follower numbers every week(actual weekly changes)</a:t>
          </a:r>
        </a:p>
        <a:p>
          <a:endParaRPr lang="en-US" sz="1100"/>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a:t>The Red</a:t>
          </a:r>
          <a:r>
            <a:rPr lang="en-US" baseline="0"/>
            <a:t> line shows 6</a:t>
          </a:r>
          <a:r>
            <a:rPr lang="en-US"/>
            <a:t>-week rolling average of followers</a:t>
          </a:r>
          <a:endParaRPr lang="en-US" sz="1100"/>
        </a:p>
      </xdr:txBody>
    </xdr:sp>
    <xdr:clientData/>
  </xdr:twoCellAnchor>
  <xdr:twoCellAnchor>
    <xdr:from>
      <xdr:col>12</xdr:col>
      <xdr:colOff>409575</xdr:colOff>
      <xdr:row>0</xdr:row>
      <xdr:rowOff>114300</xdr:rowOff>
    </xdr:from>
    <xdr:to>
      <xdr:col>17</xdr:col>
      <xdr:colOff>95250</xdr:colOff>
      <xdr:row>14</xdr:row>
      <xdr:rowOff>0</xdr:rowOff>
    </xdr:to>
    <xdr:sp macro="" textlink="">
      <xdr:nvSpPr>
        <xdr:cNvPr id="8" name="TextBox 7">
          <a:extLst>
            <a:ext uri="{FF2B5EF4-FFF2-40B4-BE49-F238E27FC236}">
              <a16:creationId xmlns:a16="http://schemas.microsoft.com/office/drawing/2014/main" id="{FEC4B727-AE15-484B-A3B7-336B18591579}"/>
            </a:ext>
          </a:extLst>
        </xdr:cNvPr>
        <xdr:cNvSpPr txBox="1"/>
      </xdr:nvSpPr>
      <xdr:spPr>
        <a:xfrm>
          <a:off x="14754225" y="114300"/>
          <a:ext cx="3019425"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B0F0"/>
              </a:solidFill>
            </a:rPr>
            <a:t>Follower Retention &amp; Loyalty</a:t>
          </a:r>
          <a:r>
            <a:rPr lang="en-US" sz="1600" b="1" baseline="0">
              <a:solidFill>
                <a:srgbClr val="00B0F0"/>
              </a:solidFill>
            </a:rPr>
            <a:t> </a:t>
          </a:r>
        </a:p>
        <a:p>
          <a:endParaRPr lang="en-US" baseline="0"/>
        </a:p>
        <a:p>
          <a:r>
            <a:rPr lang="en-US" sz="1400"/>
            <a:t>● Identify week with highest net follower gain </a:t>
          </a:r>
        </a:p>
        <a:p>
          <a:endParaRPr lang="en-US" sz="1400"/>
        </a:p>
        <a:p>
          <a:r>
            <a:rPr lang="en-US" sz="1400"/>
            <a:t>● Correlation between Ad Spend vs. Follower Growth/App Downloads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000000"/>
            </a:solidFill>
            <a:effectLst/>
            <a:uLnTx/>
            <a:uFillTx/>
            <a:latin typeface="+mn-lt"/>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cs typeface="+mn-cs"/>
            </a:rPr>
            <a:t>● Moving average chart to analyze follower trends </a:t>
          </a:r>
        </a:p>
        <a:p>
          <a:endParaRPr lang="en-US" sz="1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476250</xdr:colOff>
      <xdr:row>1</xdr:row>
      <xdr:rowOff>84667</xdr:rowOff>
    </xdr:from>
    <xdr:to>
      <xdr:col>27</xdr:col>
      <xdr:colOff>74083</xdr:colOff>
      <xdr:row>39</xdr:row>
      <xdr:rowOff>31750</xdr:rowOff>
    </xdr:to>
    <xdr:sp macro="" textlink="">
      <xdr:nvSpPr>
        <xdr:cNvPr id="24" name="Rectangle 23">
          <a:extLst>
            <a:ext uri="{FF2B5EF4-FFF2-40B4-BE49-F238E27FC236}">
              <a16:creationId xmlns:a16="http://schemas.microsoft.com/office/drawing/2014/main" id="{97A7EDEA-FC7D-4A0A-BA5D-BBE8E819EBAA}"/>
            </a:ext>
          </a:extLst>
        </xdr:cNvPr>
        <xdr:cNvSpPr/>
      </xdr:nvSpPr>
      <xdr:spPr>
        <a:xfrm>
          <a:off x="1090083" y="275167"/>
          <a:ext cx="15557500" cy="7186083"/>
        </a:xfrm>
        <a:prstGeom prst="rect">
          <a:avLst/>
        </a:prstGeom>
        <a:solidFill>
          <a:schemeClr val="bg1">
            <a:lumMod val="8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485775</xdr:colOff>
      <xdr:row>1</xdr:row>
      <xdr:rowOff>161925</xdr:rowOff>
    </xdr:from>
    <xdr:to>
      <xdr:col>27</xdr:col>
      <xdr:colOff>19050</xdr:colOff>
      <xdr:row>36</xdr:row>
      <xdr:rowOff>180975</xdr:rowOff>
    </xdr:to>
    <xdr:sp macro="" textlink="">
      <xdr:nvSpPr>
        <xdr:cNvPr id="8" name="Rectangle 7">
          <a:extLst>
            <a:ext uri="{FF2B5EF4-FFF2-40B4-BE49-F238E27FC236}">
              <a16:creationId xmlns:a16="http://schemas.microsoft.com/office/drawing/2014/main" id="{CEC6FB01-017C-416C-B3AF-679D49746195}"/>
            </a:ext>
          </a:extLst>
        </xdr:cNvPr>
        <xdr:cNvSpPr/>
      </xdr:nvSpPr>
      <xdr:spPr>
        <a:xfrm>
          <a:off x="1095375" y="352425"/>
          <a:ext cx="15382875" cy="6686550"/>
        </a:xfrm>
        <a:prstGeom prst="rect">
          <a:avLst/>
        </a:prstGeom>
        <a:noFill/>
        <a:ln>
          <a:noFill/>
        </a:ln>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19051</xdr:colOff>
      <xdr:row>2</xdr:row>
      <xdr:rowOff>52917</xdr:rowOff>
    </xdr:from>
    <xdr:to>
      <xdr:col>5</xdr:col>
      <xdr:colOff>95250</xdr:colOff>
      <xdr:row>37</xdr:row>
      <xdr:rowOff>179917</xdr:rowOff>
    </xdr:to>
    <xdr:sp macro="" textlink="">
      <xdr:nvSpPr>
        <xdr:cNvPr id="7" name="Rectangle: Rounded Corners 6">
          <a:extLst>
            <a:ext uri="{FF2B5EF4-FFF2-40B4-BE49-F238E27FC236}">
              <a16:creationId xmlns:a16="http://schemas.microsoft.com/office/drawing/2014/main" id="{0FD5B70B-D0A1-4D92-90E8-78729DD3C242}"/>
            </a:ext>
          </a:extLst>
        </xdr:cNvPr>
        <xdr:cNvSpPr/>
      </xdr:nvSpPr>
      <xdr:spPr>
        <a:xfrm>
          <a:off x="1246718" y="433917"/>
          <a:ext cx="1917699" cy="6794500"/>
        </a:xfrm>
        <a:prstGeom prst="roundRect">
          <a:avLst>
            <a:gd name="adj" fmla="val 452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104350</xdr:colOff>
      <xdr:row>3</xdr:row>
      <xdr:rowOff>36608</xdr:rowOff>
    </xdr:from>
    <xdr:to>
      <xdr:col>4</xdr:col>
      <xdr:colOff>592667</xdr:colOff>
      <xdr:row>11</xdr:row>
      <xdr:rowOff>169334</xdr:rowOff>
    </xdr:to>
    <xdr:sp macro="" textlink="">
      <xdr:nvSpPr>
        <xdr:cNvPr id="9" name="Rectangle: Rounded Corners 8">
          <a:extLst>
            <a:ext uri="{FF2B5EF4-FFF2-40B4-BE49-F238E27FC236}">
              <a16:creationId xmlns:a16="http://schemas.microsoft.com/office/drawing/2014/main" id="{9369D80C-F602-4481-A2F6-1F6FDC2328FB}"/>
            </a:ext>
          </a:extLst>
        </xdr:cNvPr>
        <xdr:cNvSpPr/>
      </xdr:nvSpPr>
      <xdr:spPr>
        <a:xfrm>
          <a:off x="1332017" y="608108"/>
          <a:ext cx="1715983" cy="1656726"/>
        </a:xfrm>
        <a:prstGeom prst="roundRect">
          <a:avLst>
            <a:gd name="adj" fmla="val 50000"/>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234602</xdr:colOff>
      <xdr:row>4</xdr:row>
      <xdr:rowOff>111824</xdr:rowOff>
    </xdr:from>
    <xdr:to>
      <xdr:col>4</xdr:col>
      <xdr:colOff>518583</xdr:colOff>
      <xdr:row>9</xdr:row>
      <xdr:rowOff>63501</xdr:rowOff>
    </xdr:to>
    <xdr:sp macro="" textlink="Rough!C22">
      <xdr:nvSpPr>
        <xdr:cNvPr id="10" name="TextBox 9">
          <a:extLst>
            <a:ext uri="{FF2B5EF4-FFF2-40B4-BE49-F238E27FC236}">
              <a16:creationId xmlns:a16="http://schemas.microsoft.com/office/drawing/2014/main" id="{A5376E87-E985-41C4-A7DA-F7BC83ED0AC5}"/>
            </a:ext>
          </a:extLst>
        </xdr:cNvPr>
        <xdr:cNvSpPr txBox="1"/>
      </xdr:nvSpPr>
      <xdr:spPr>
        <a:xfrm>
          <a:off x="1462269" y="873824"/>
          <a:ext cx="1511647" cy="904177"/>
        </a:xfrm>
        <a:prstGeom prst="rect">
          <a:avLst/>
        </a:prstGeom>
        <a:noFill/>
        <a:effectLst>
          <a:innerShdw blurRad="63500" dist="50800" dir="13500000">
            <a:prstClr val="black">
              <a:alpha val="50000"/>
            </a:prstClr>
          </a:innerShd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8B7D3A3-D552-4666-8EC3-7D00413EBD17}" type="TxLink">
            <a:rPr lang="en-US" sz="3200" b="1" i="0" u="none" strike="noStrike">
              <a:solidFill>
                <a:srgbClr val="00D661"/>
              </a:solidFill>
              <a:latin typeface="Segoe UI Black" panose="020B0A02040204020203" pitchFamily="34" charset="0"/>
              <a:ea typeface="Segoe UI Black" panose="020B0A02040204020203" pitchFamily="34" charset="0"/>
              <a:cs typeface="Segoe UI Semibold" panose="020B0702040204020203" pitchFamily="34" charset="0"/>
            </a:rPr>
            <a:pPr/>
            <a:t>46.5M</a:t>
          </a:fld>
          <a:endParaRPr lang="en-US" sz="3200" b="1" i="0">
            <a:solidFill>
              <a:srgbClr val="00D66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3</xdr:col>
      <xdr:colOff>252137</xdr:colOff>
      <xdr:row>9</xdr:row>
      <xdr:rowOff>142767</xdr:rowOff>
    </xdr:from>
    <xdr:to>
      <xdr:col>3</xdr:col>
      <xdr:colOff>571500</xdr:colOff>
      <xdr:row>11</xdr:row>
      <xdr:rowOff>73094</xdr:rowOff>
    </xdr:to>
    <xdr:pic>
      <xdr:nvPicPr>
        <xdr:cNvPr id="12" name="Picture 11">
          <a:extLst>
            <a:ext uri="{FF2B5EF4-FFF2-40B4-BE49-F238E27FC236}">
              <a16:creationId xmlns:a16="http://schemas.microsoft.com/office/drawing/2014/main" id="{DD8278AE-6E14-4A2F-BB34-A8DE82707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3637" y="1857267"/>
          <a:ext cx="319363" cy="311327"/>
        </a:xfrm>
        <a:prstGeom prst="rect">
          <a:avLst/>
        </a:prstGeom>
      </xdr:spPr>
    </xdr:pic>
    <xdr:clientData/>
  </xdr:twoCellAnchor>
  <xdr:twoCellAnchor>
    <xdr:from>
      <xdr:col>2</xdr:col>
      <xdr:colOff>205717</xdr:colOff>
      <xdr:row>7</xdr:row>
      <xdr:rowOff>169334</xdr:rowOff>
    </xdr:from>
    <xdr:to>
      <xdr:col>4</xdr:col>
      <xdr:colOff>349250</xdr:colOff>
      <xdr:row>9</xdr:row>
      <xdr:rowOff>137584</xdr:rowOff>
    </xdr:to>
    <xdr:sp macro="" textlink="">
      <xdr:nvSpPr>
        <xdr:cNvPr id="13" name="TextBox 12">
          <a:extLst>
            <a:ext uri="{FF2B5EF4-FFF2-40B4-BE49-F238E27FC236}">
              <a16:creationId xmlns:a16="http://schemas.microsoft.com/office/drawing/2014/main" id="{3E83239A-3BC0-432E-B8E8-BD692EFF1E27}"/>
            </a:ext>
          </a:extLst>
        </xdr:cNvPr>
        <xdr:cNvSpPr txBox="1"/>
      </xdr:nvSpPr>
      <xdr:spPr>
        <a:xfrm>
          <a:off x="1433384" y="1502834"/>
          <a:ext cx="1371199"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latin typeface="+mj-lt"/>
              <a:ea typeface="Segoe UI Black" panose="020B0A02040204020203" pitchFamily="34" charset="0"/>
              <a:cs typeface="Segoe UI Semibold" panose="020B0702040204020203" pitchFamily="34" charset="0"/>
            </a:rPr>
            <a:t>Followers</a:t>
          </a:r>
        </a:p>
      </xdr:txBody>
    </xdr:sp>
    <xdr:clientData/>
  </xdr:twoCellAnchor>
  <xdr:twoCellAnchor>
    <xdr:from>
      <xdr:col>5</xdr:col>
      <xdr:colOff>180975</xdr:colOff>
      <xdr:row>2</xdr:row>
      <xdr:rowOff>63499</xdr:rowOff>
    </xdr:from>
    <xdr:to>
      <xdr:col>27</xdr:col>
      <xdr:colOff>10583</xdr:colOff>
      <xdr:row>18</xdr:row>
      <xdr:rowOff>116417</xdr:rowOff>
    </xdr:to>
    <xdr:sp macro="" textlink="">
      <xdr:nvSpPr>
        <xdr:cNvPr id="2" name="Rectangle: Rounded Corners 1">
          <a:extLst>
            <a:ext uri="{FF2B5EF4-FFF2-40B4-BE49-F238E27FC236}">
              <a16:creationId xmlns:a16="http://schemas.microsoft.com/office/drawing/2014/main" id="{444EF788-8220-45CD-8827-D88B28B793E7}"/>
            </a:ext>
          </a:extLst>
        </xdr:cNvPr>
        <xdr:cNvSpPr/>
      </xdr:nvSpPr>
      <xdr:spPr>
        <a:xfrm>
          <a:off x="3250142" y="444499"/>
          <a:ext cx="13333941" cy="3100918"/>
        </a:xfrm>
        <a:prstGeom prst="roundRect">
          <a:avLst>
            <a:gd name="adj" fmla="val 193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296333</xdr:colOff>
      <xdr:row>3</xdr:row>
      <xdr:rowOff>21167</xdr:rowOff>
    </xdr:from>
    <xdr:to>
      <xdr:col>16</xdr:col>
      <xdr:colOff>264584</xdr:colOff>
      <xdr:row>10</xdr:row>
      <xdr:rowOff>84667</xdr:rowOff>
    </xdr:to>
    <xdr:grpSp>
      <xdr:nvGrpSpPr>
        <xdr:cNvPr id="61" name="Group 60">
          <a:extLst>
            <a:ext uri="{FF2B5EF4-FFF2-40B4-BE49-F238E27FC236}">
              <a16:creationId xmlns:a16="http://schemas.microsoft.com/office/drawing/2014/main" id="{5A928E88-73EF-4AFB-9362-2EA4CC157055}"/>
            </a:ext>
          </a:extLst>
        </xdr:cNvPr>
        <xdr:cNvGrpSpPr/>
      </xdr:nvGrpSpPr>
      <xdr:grpSpPr>
        <a:xfrm>
          <a:off x="3344333" y="592667"/>
          <a:ext cx="6673851" cy="1397000"/>
          <a:chOff x="1356358" y="2434899"/>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62" name="Rectangle: Rounded Corners 61">
            <a:extLst>
              <a:ext uri="{FF2B5EF4-FFF2-40B4-BE49-F238E27FC236}">
                <a16:creationId xmlns:a16="http://schemas.microsoft.com/office/drawing/2014/main" id="{2DF10313-9D8B-4427-B0BE-DF70F2B3B83C}"/>
              </a:ext>
            </a:extLst>
          </xdr:cNvPr>
          <xdr:cNvSpPr/>
        </xdr:nvSpPr>
        <xdr:spPr>
          <a:xfrm>
            <a:off x="1356358" y="2434899"/>
            <a:ext cx="1668785" cy="958661"/>
          </a:xfrm>
          <a:prstGeom prst="roundRect">
            <a:avLst>
              <a:gd name="adj" fmla="val 10425"/>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65" name="TextBox 64">
            <a:extLst>
              <a:ext uri="{FF2B5EF4-FFF2-40B4-BE49-F238E27FC236}">
                <a16:creationId xmlns:a16="http://schemas.microsoft.com/office/drawing/2014/main" id="{24037E70-B937-45D5-8FEC-554971A2631B}"/>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editAs="oneCell">
    <xdr:from>
      <xdr:col>5</xdr:col>
      <xdr:colOff>435274</xdr:colOff>
      <xdr:row>5</xdr:row>
      <xdr:rowOff>102053</xdr:rowOff>
    </xdr:from>
    <xdr:to>
      <xdr:col>5</xdr:col>
      <xdr:colOff>590704</xdr:colOff>
      <xdr:row>6</xdr:row>
      <xdr:rowOff>65768</xdr:rowOff>
    </xdr:to>
    <xdr:pic>
      <xdr:nvPicPr>
        <xdr:cNvPr id="18" name="Picture 17">
          <a:extLst>
            <a:ext uri="{FF2B5EF4-FFF2-40B4-BE49-F238E27FC236}">
              <a16:creationId xmlns:a16="http://schemas.microsoft.com/office/drawing/2014/main" id="{A81F0366-3536-4EB2-AD09-9E7DC7FD7B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83274" y="1054553"/>
          <a:ext cx="155430" cy="154215"/>
        </a:xfrm>
        <a:prstGeom prst="rect">
          <a:avLst/>
        </a:prstGeom>
      </xdr:spPr>
    </xdr:pic>
    <xdr:clientData/>
  </xdr:twoCellAnchor>
  <xdr:twoCellAnchor editAs="oneCell">
    <xdr:from>
      <xdr:col>5</xdr:col>
      <xdr:colOff>408214</xdr:colOff>
      <xdr:row>6</xdr:row>
      <xdr:rowOff>72419</xdr:rowOff>
    </xdr:from>
    <xdr:to>
      <xdr:col>6</xdr:col>
      <xdr:colOff>27214</xdr:colOff>
      <xdr:row>7</xdr:row>
      <xdr:rowOff>108705</xdr:rowOff>
    </xdr:to>
    <xdr:pic>
      <xdr:nvPicPr>
        <xdr:cNvPr id="22" name="Picture 21">
          <a:extLst>
            <a:ext uri="{FF2B5EF4-FFF2-40B4-BE49-F238E27FC236}">
              <a16:creationId xmlns:a16="http://schemas.microsoft.com/office/drawing/2014/main" id="{D9EF1D95-E439-4C48-BCCD-E3E08C28C7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56214" y="1215419"/>
          <a:ext cx="228600" cy="226786"/>
        </a:xfrm>
        <a:prstGeom prst="rect">
          <a:avLst/>
        </a:prstGeom>
      </xdr:spPr>
    </xdr:pic>
    <xdr:clientData/>
  </xdr:twoCellAnchor>
  <xdr:twoCellAnchor editAs="oneCell">
    <xdr:from>
      <xdr:col>5</xdr:col>
      <xdr:colOff>437696</xdr:colOff>
      <xdr:row>7</xdr:row>
      <xdr:rowOff>113240</xdr:rowOff>
    </xdr:from>
    <xdr:to>
      <xdr:col>5</xdr:col>
      <xdr:colOff>607333</xdr:colOff>
      <xdr:row>8</xdr:row>
      <xdr:rowOff>90563</xdr:rowOff>
    </xdr:to>
    <xdr:pic>
      <xdr:nvPicPr>
        <xdr:cNvPr id="34" name="Picture 33">
          <a:extLst>
            <a:ext uri="{FF2B5EF4-FFF2-40B4-BE49-F238E27FC236}">
              <a16:creationId xmlns:a16="http://schemas.microsoft.com/office/drawing/2014/main" id="{ED08B318-8022-4D05-A5FD-30BAFB5C3A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85696" y="1446740"/>
          <a:ext cx="169637" cy="167823"/>
        </a:xfrm>
        <a:prstGeom prst="rect">
          <a:avLst/>
        </a:prstGeom>
      </xdr:spPr>
    </xdr:pic>
    <xdr:clientData/>
  </xdr:twoCellAnchor>
  <xdr:twoCellAnchor editAs="oneCell">
    <xdr:from>
      <xdr:col>6</xdr:col>
      <xdr:colOff>95249</xdr:colOff>
      <xdr:row>3</xdr:row>
      <xdr:rowOff>48683</xdr:rowOff>
    </xdr:from>
    <xdr:to>
      <xdr:col>16</xdr:col>
      <xdr:colOff>152400</xdr:colOff>
      <xdr:row>9</xdr:row>
      <xdr:rowOff>185843</xdr:rowOff>
    </xdr:to>
    <mc:AlternateContent xmlns:mc="http://schemas.openxmlformats.org/markup-compatibility/2006" xmlns:tsle="http://schemas.microsoft.com/office/drawing/2012/timeslicer">
      <mc:Choice Requires="tsle">
        <xdr:graphicFrame macro="">
          <xdr:nvGraphicFramePr>
            <xdr:cNvPr id="64" name="Week_Start_Date 4">
              <a:extLst>
                <a:ext uri="{FF2B5EF4-FFF2-40B4-BE49-F238E27FC236}">
                  <a16:creationId xmlns:a16="http://schemas.microsoft.com/office/drawing/2014/main" id="{BA44F280-622E-4045-9BEF-88B2B6E701BF}"/>
                </a:ext>
              </a:extLst>
            </xdr:cNvPr>
            <xdr:cNvGraphicFramePr/>
          </xdr:nvGraphicFramePr>
          <xdr:xfrm>
            <a:off x="0" y="0"/>
            <a:ext cx="0" cy="0"/>
          </xdr:xfrm>
          <a:graphic>
            <a:graphicData uri="http://schemas.microsoft.com/office/drawing/2012/timeslicer">
              <tsle:timeslicer name="Week_Start_Date 4"/>
            </a:graphicData>
          </a:graphic>
        </xdr:graphicFrame>
      </mc:Choice>
      <mc:Fallback xmlns="">
        <xdr:sp macro="" textlink="">
          <xdr:nvSpPr>
            <xdr:cNvPr id="0" name=""/>
            <xdr:cNvSpPr>
              <a:spLocks noTextEdit="1"/>
            </xdr:cNvSpPr>
          </xdr:nvSpPr>
          <xdr:spPr>
            <a:xfrm>
              <a:off x="3752849" y="620183"/>
              <a:ext cx="6153151" cy="1280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419100</xdr:colOff>
      <xdr:row>1</xdr:row>
      <xdr:rowOff>85725</xdr:rowOff>
    </xdr:from>
    <xdr:to>
      <xdr:col>11</xdr:col>
      <xdr:colOff>542925</xdr:colOff>
      <xdr:row>7</xdr:row>
      <xdr:rowOff>28575</xdr:rowOff>
    </xdr:to>
    <xdr:grpSp>
      <xdr:nvGrpSpPr>
        <xdr:cNvPr id="20" name="Group 19">
          <a:extLst>
            <a:ext uri="{FF2B5EF4-FFF2-40B4-BE49-F238E27FC236}">
              <a16:creationId xmlns:a16="http://schemas.microsoft.com/office/drawing/2014/main" id="{DD918FDC-FEAF-412C-8FB7-1B6CC102A11D}"/>
            </a:ext>
          </a:extLst>
        </xdr:cNvPr>
        <xdr:cNvGrpSpPr/>
      </xdr:nvGrpSpPr>
      <xdr:grpSpPr>
        <a:xfrm>
          <a:off x="5905500" y="276225"/>
          <a:ext cx="1343025" cy="1085850"/>
          <a:chOff x="1352550" y="228600"/>
          <a:chExt cx="1343025" cy="1085850"/>
        </a:xfrm>
      </xdr:grpSpPr>
      <xdr:pic>
        <xdr:nvPicPr>
          <xdr:cNvPr id="4" name="Picture 3">
            <a:extLst>
              <a:ext uri="{FF2B5EF4-FFF2-40B4-BE49-F238E27FC236}">
                <a16:creationId xmlns:a16="http://schemas.microsoft.com/office/drawing/2014/main" id="{02BF7630-B145-4D1B-9FB3-D1FE70A547F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2551" y="228600"/>
            <a:ext cx="1085850" cy="1085850"/>
          </a:xfrm>
          <a:prstGeom prst="rect">
            <a:avLst/>
          </a:prstGeom>
        </xdr:spPr>
      </xdr:pic>
      <xdr:sp macro="" textlink="">
        <xdr:nvSpPr>
          <xdr:cNvPr id="6" name="Rectangle 5">
            <a:extLst>
              <a:ext uri="{FF2B5EF4-FFF2-40B4-BE49-F238E27FC236}">
                <a16:creationId xmlns:a16="http://schemas.microsoft.com/office/drawing/2014/main" id="{A7E190D6-1B2A-4A19-87B1-EB9395AD8EA7}"/>
              </a:ext>
            </a:extLst>
          </xdr:cNvPr>
          <xdr:cNvSpPr/>
        </xdr:nvSpPr>
        <xdr:spPr>
          <a:xfrm>
            <a:off x="1352550" y="771525"/>
            <a:ext cx="1343025" cy="311496"/>
          </a:xfrm>
          <a:prstGeom prst="rect">
            <a:avLst/>
          </a:prstGeom>
          <a:noFill/>
        </xdr:spPr>
        <xdr:txBody>
          <a:bodyPr wrap="square" lIns="91440" tIns="45720" rIns="91440" bIns="45720">
            <a:spAutoFit/>
          </a:bodyPr>
          <a:lstStyle/>
          <a:p>
            <a:pPr algn="ctr"/>
            <a:r>
              <a:rPr lang="en-GB" sz="1400" b="1" cap="none" spc="0">
                <a:ln w="0"/>
                <a:solidFill>
                  <a:srgbClr val="00D661"/>
                </a:solidFill>
                <a:effectLst>
                  <a:outerShdw blurRad="38100" dist="25400" dir="5400000" algn="ctr" rotWithShape="0">
                    <a:srgbClr val="6E747A">
                      <a:alpha val="43000"/>
                    </a:srgbClr>
                  </a:outerShdw>
                </a:effectLst>
              </a:rPr>
              <a:t>Analysis</a:t>
            </a:r>
          </a:p>
        </xdr:txBody>
      </xdr:sp>
    </xdr:grpSp>
    <xdr:clientData/>
  </xdr:twoCellAnchor>
  <xdr:twoCellAnchor>
    <xdr:from>
      <xdr:col>2</xdr:col>
      <xdr:colOff>105833</xdr:colOff>
      <xdr:row>31</xdr:row>
      <xdr:rowOff>127000</xdr:rowOff>
    </xdr:from>
    <xdr:to>
      <xdr:col>5</xdr:col>
      <xdr:colOff>7420</xdr:colOff>
      <xdr:row>37</xdr:row>
      <xdr:rowOff>33608</xdr:rowOff>
    </xdr:to>
    <xdr:grpSp>
      <xdr:nvGrpSpPr>
        <xdr:cNvPr id="14" name="Group 13">
          <a:extLst>
            <a:ext uri="{FF2B5EF4-FFF2-40B4-BE49-F238E27FC236}">
              <a16:creationId xmlns:a16="http://schemas.microsoft.com/office/drawing/2014/main" id="{B4AA57BA-0441-4EA7-B923-D77B659E6F8E}"/>
            </a:ext>
          </a:extLst>
        </xdr:cNvPr>
        <xdr:cNvGrpSpPr/>
      </xdr:nvGrpSpPr>
      <xdr:grpSpPr>
        <a:xfrm>
          <a:off x="1325033" y="6032500"/>
          <a:ext cx="1730387" cy="1049608"/>
          <a:chOff x="1356358" y="4634333"/>
          <a:chExt cx="1668785" cy="962579"/>
        </a:xfrm>
        <a:solidFill>
          <a:schemeClr val="bg1">
            <a:lumMod val="85000"/>
          </a:schemeClr>
        </a:solidFill>
        <a:effectLst>
          <a:outerShdw blurRad="50800" dist="38100" dir="5400000" algn="t"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B3B0CB92-C089-4A25-B4FB-0EF16E3F6F9B}"/>
              </a:ext>
            </a:extLst>
          </xdr:cNvPr>
          <xdr:cNvSpPr/>
        </xdr:nvSpPr>
        <xdr:spPr>
          <a:xfrm>
            <a:off x="1356358" y="4634333"/>
            <a:ext cx="1668785" cy="958661"/>
          </a:xfrm>
          <a:prstGeom prst="roundRect">
            <a:avLst>
              <a:gd name="adj" fmla="val 10592"/>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Picture 48">
            <a:extLst>
              <a:ext uri="{FF2B5EF4-FFF2-40B4-BE49-F238E27FC236}">
                <a16:creationId xmlns:a16="http://schemas.microsoft.com/office/drawing/2014/main" id="{217B1612-9286-480F-9894-1AD08F71E8B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79383" y="5258256"/>
            <a:ext cx="338656" cy="338656"/>
          </a:xfrm>
          <a:prstGeom prst="rect">
            <a:avLst/>
          </a:prstGeom>
          <a:noFill/>
        </xdr:spPr>
      </xdr:pic>
      <xdr:sp macro="" textlink="Rough!#REF!">
        <xdr:nvSpPr>
          <xdr:cNvPr id="47" name="TextBox 46">
            <a:extLst>
              <a:ext uri="{FF2B5EF4-FFF2-40B4-BE49-F238E27FC236}">
                <a16:creationId xmlns:a16="http://schemas.microsoft.com/office/drawing/2014/main" id="{27E592A9-65EF-4A71-8619-1C1AF76B9A63}"/>
              </a:ext>
            </a:extLst>
          </xdr:cNvPr>
          <xdr:cNvSpPr txBox="1"/>
        </xdr:nvSpPr>
        <xdr:spPr>
          <a:xfrm>
            <a:off x="1442083" y="4681958"/>
            <a:ext cx="1023352" cy="45844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997BD2C-1CCF-411D-BBE3-7EF6CC6EC422}"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52" name="TextBox 51">
            <a:extLst>
              <a:ext uri="{FF2B5EF4-FFF2-40B4-BE49-F238E27FC236}">
                <a16:creationId xmlns:a16="http://schemas.microsoft.com/office/drawing/2014/main" id="{2C2BD4DE-A040-4C20-A0FA-017475E8ADED}"/>
              </a:ext>
            </a:extLst>
          </xdr:cNvPr>
          <xdr:cNvSpPr txBox="1"/>
        </xdr:nvSpPr>
        <xdr:spPr>
          <a:xfrm>
            <a:off x="1413759" y="5049878"/>
            <a:ext cx="830035" cy="24583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latin typeface="+mj-lt"/>
                <a:ea typeface="Segoe UI Black" panose="020B0A02040204020203" pitchFamily="34" charset="0"/>
                <a:cs typeface="Segoe UI Semibold" panose="020B0702040204020203" pitchFamily="34" charset="0"/>
              </a:rPr>
              <a:t>Shares</a:t>
            </a:r>
            <a:endParaRPr lang="en-US" sz="1050" b="1">
              <a:latin typeface="+mj-lt"/>
              <a:ea typeface="Segoe UI Black" panose="020B0A02040204020203" pitchFamily="34" charset="0"/>
              <a:cs typeface="Segoe UI Semibold" panose="020B0702040204020203" pitchFamily="34" charset="0"/>
            </a:endParaRPr>
          </a:p>
        </xdr:txBody>
      </xdr:sp>
    </xdr:grpSp>
    <xdr:clientData/>
  </xdr:twoCellAnchor>
  <xdr:twoCellAnchor>
    <xdr:from>
      <xdr:col>2</xdr:col>
      <xdr:colOff>105409</xdr:colOff>
      <xdr:row>25</xdr:row>
      <xdr:rowOff>171233</xdr:rowOff>
    </xdr:from>
    <xdr:to>
      <xdr:col>5</xdr:col>
      <xdr:colOff>10583</xdr:colOff>
      <xdr:row>31</xdr:row>
      <xdr:rowOff>21166</xdr:rowOff>
    </xdr:to>
    <xdr:grpSp>
      <xdr:nvGrpSpPr>
        <xdr:cNvPr id="15" name="Group 14">
          <a:extLst>
            <a:ext uri="{FF2B5EF4-FFF2-40B4-BE49-F238E27FC236}">
              <a16:creationId xmlns:a16="http://schemas.microsoft.com/office/drawing/2014/main" id="{40CFEEAB-FBE2-4AA8-86E8-7406D6565C94}"/>
            </a:ext>
          </a:extLst>
        </xdr:cNvPr>
        <xdr:cNvGrpSpPr/>
      </xdr:nvGrpSpPr>
      <xdr:grpSpPr>
        <a:xfrm>
          <a:off x="1324609" y="4933733"/>
          <a:ext cx="1733974" cy="992933"/>
          <a:chOff x="1356358" y="3534616"/>
          <a:chExt cx="1668785" cy="958661"/>
        </a:xfrm>
        <a:solidFill>
          <a:schemeClr val="bg1">
            <a:lumMod val="85000"/>
          </a:schemeClr>
        </a:solidFill>
        <a:effectLst>
          <a:outerShdw blurRad="50800" dist="38100" dir="2700000" algn="tl" rotWithShape="0">
            <a:prstClr val="black">
              <a:alpha val="40000"/>
            </a:prstClr>
          </a:outerShdw>
        </a:effectLst>
      </xdr:grpSpPr>
      <xdr:sp macro="" textlink="">
        <xdr:nvSpPr>
          <xdr:cNvPr id="26" name="Rectangle: Rounded Corners 25">
            <a:extLst>
              <a:ext uri="{FF2B5EF4-FFF2-40B4-BE49-F238E27FC236}">
                <a16:creationId xmlns:a16="http://schemas.microsoft.com/office/drawing/2014/main" id="{D6CCC0CD-B865-4024-AE90-443D98DEDA41}"/>
              </a:ext>
            </a:extLst>
          </xdr:cNvPr>
          <xdr:cNvSpPr/>
        </xdr:nvSpPr>
        <xdr:spPr>
          <a:xfrm>
            <a:off x="1356358" y="3534616"/>
            <a:ext cx="1668785" cy="958661"/>
          </a:xfrm>
          <a:prstGeom prst="roundRect">
            <a:avLst>
              <a:gd name="adj" fmla="val 10272"/>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1" name="Picture 50">
            <a:extLst>
              <a:ext uri="{FF2B5EF4-FFF2-40B4-BE49-F238E27FC236}">
                <a16:creationId xmlns:a16="http://schemas.microsoft.com/office/drawing/2014/main" id="{AD73AF70-F7C2-432C-99A9-779C1805F9D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98174" y="4190997"/>
            <a:ext cx="294411" cy="294411"/>
          </a:xfrm>
          <a:prstGeom prst="rect">
            <a:avLst/>
          </a:prstGeom>
          <a:grpFill/>
        </xdr:spPr>
      </xdr:pic>
      <xdr:sp macro="" textlink="Rough!#REF!">
        <xdr:nvSpPr>
          <xdr:cNvPr id="44" name="TextBox 43">
            <a:extLst>
              <a:ext uri="{FF2B5EF4-FFF2-40B4-BE49-F238E27FC236}">
                <a16:creationId xmlns:a16="http://schemas.microsoft.com/office/drawing/2014/main" id="{1868CFCF-1B37-408A-88E4-225454D3518A}"/>
              </a:ext>
            </a:extLst>
          </xdr:cNvPr>
          <xdr:cNvSpPr txBox="1"/>
        </xdr:nvSpPr>
        <xdr:spPr>
          <a:xfrm>
            <a:off x="1428750" y="3600450"/>
            <a:ext cx="1023352" cy="45844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F702F9F-F237-4CEF-B293-4AFC0CB86928}"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54" name="TextBox 53">
            <a:extLst>
              <a:ext uri="{FF2B5EF4-FFF2-40B4-BE49-F238E27FC236}">
                <a16:creationId xmlns:a16="http://schemas.microsoft.com/office/drawing/2014/main" id="{2FD57F3E-64DE-4A8D-ADB7-F8497D5F11C5}"/>
              </a:ext>
            </a:extLst>
          </xdr:cNvPr>
          <xdr:cNvSpPr txBox="1"/>
        </xdr:nvSpPr>
        <xdr:spPr>
          <a:xfrm>
            <a:off x="1405596" y="3989074"/>
            <a:ext cx="1225203" cy="24583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latin typeface="+mj-lt"/>
                <a:ea typeface="Segoe UI Black" panose="020B0A02040204020203" pitchFamily="34" charset="0"/>
                <a:cs typeface="Segoe UI Semibold" panose="020B0702040204020203" pitchFamily="34" charset="0"/>
              </a:rPr>
              <a:t>Comments</a:t>
            </a:r>
            <a:endParaRPr lang="en-US" sz="800" b="1">
              <a:latin typeface="+mj-lt"/>
              <a:ea typeface="Segoe UI Black" panose="020B0A02040204020203" pitchFamily="34" charset="0"/>
              <a:cs typeface="Segoe UI Semibold" panose="020B0702040204020203" pitchFamily="34" charset="0"/>
            </a:endParaRPr>
          </a:p>
        </xdr:txBody>
      </xdr:sp>
    </xdr:grpSp>
    <xdr:clientData/>
  </xdr:twoCellAnchor>
  <xdr:twoCellAnchor>
    <xdr:from>
      <xdr:col>2</xdr:col>
      <xdr:colOff>104350</xdr:colOff>
      <xdr:row>19</xdr:row>
      <xdr:rowOff>178533</xdr:rowOff>
    </xdr:from>
    <xdr:to>
      <xdr:col>5</xdr:col>
      <xdr:colOff>10583</xdr:colOff>
      <xdr:row>25</xdr:row>
      <xdr:rowOff>52917</xdr:rowOff>
    </xdr:to>
    <xdr:grpSp>
      <xdr:nvGrpSpPr>
        <xdr:cNvPr id="16" name="Group 15">
          <a:extLst>
            <a:ext uri="{FF2B5EF4-FFF2-40B4-BE49-F238E27FC236}">
              <a16:creationId xmlns:a16="http://schemas.microsoft.com/office/drawing/2014/main" id="{9F459841-45C1-47B3-9D2B-C4FDD1F14B22}"/>
            </a:ext>
          </a:extLst>
        </xdr:cNvPr>
        <xdr:cNvGrpSpPr/>
      </xdr:nvGrpSpPr>
      <xdr:grpSpPr>
        <a:xfrm>
          <a:off x="1323550" y="3798033"/>
          <a:ext cx="1735033" cy="1017384"/>
          <a:chOff x="1356358" y="2434899"/>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23" name="Rectangle: Rounded Corners 22">
            <a:extLst>
              <a:ext uri="{FF2B5EF4-FFF2-40B4-BE49-F238E27FC236}">
                <a16:creationId xmlns:a16="http://schemas.microsoft.com/office/drawing/2014/main" id="{DC360958-1BF9-42B2-81B4-405E1A367E26}"/>
              </a:ext>
            </a:extLst>
          </xdr:cNvPr>
          <xdr:cNvSpPr/>
        </xdr:nvSpPr>
        <xdr:spPr>
          <a:xfrm>
            <a:off x="1356358" y="2434899"/>
            <a:ext cx="1668785" cy="958661"/>
          </a:xfrm>
          <a:prstGeom prst="roundRect">
            <a:avLst>
              <a:gd name="adj" fmla="val 10425"/>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3" name="Picture 52">
            <a:extLst>
              <a:ext uri="{FF2B5EF4-FFF2-40B4-BE49-F238E27FC236}">
                <a16:creationId xmlns:a16="http://schemas.microsoft.com/office/drawing/2014/main" id="{308DEE30-C7CB-4F4A-A79D-7F8A0D3264F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54878" y="3022022"/>
            <a:ext cx="320387" cy="320387"/>
          </a:xfrm>
          <a:prstGeom prst="rect">
            <a:avLst/>
          </a:prstGeom>
          <a:grpFill/>
        </xdr:spPr>
      </xdr:pic>
      <xdr:sp macro="" textlink="Rough!#REF!">
        <xdr:nvSpPr>
          <xdr:cNvPr id="38" name="TextBox 37">
            <a:extLst>
              <a:ext uri="{FF2B5EF4-FFF2-40B4-BE49-F238E27FC236}">
                <a16:creationId xmlns:a16="http://schemas.microsoft.com/office/drawing/2014/main" id="{86CBF7C6-3C85-4551-B344-09DAEE305703}"/>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50" name="TextBox 49">
            <a:extLst>
              <a:ext uri="{FF2B5EF4-FFF2-40B4-BE49-F238E27FC236}">
                <a16:creationId xmlns:a16="http://schemas.microsoft.com/office/drawing/2014/main" id="{7D50AF96-4E57-491E-BA98-CB521BCE89FE}"/>
              </a:ext>
            </a:extLst>
          </xdr:cNvPr>
          <xdr:cNvSpPr txBox="1"/>
        </xdr:nvSpPr>
        <xdr:spPr>
          <a:xfrm>
            <a:off x="1416905" y="2870605"/>
            <a:ext cx="830035" cy="24583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a:latin typeface="+mj-lt"/>
                <a:ea typeface="Segoe UI Black" panose="020B0A02040204020203" pitchFamily="34" charset="0"/>
                <a:cs typeface="Segoe UI Semibold" panose="020B0702040204020203" pitchFamily="34" charset="0"/>
              </a:rPr>
              <a:t>Likes</a:t>
            </a:r>
            <a:endParaRPr lang="en-US" sz="1100" b="1" i="0">
              <a:latin typeface="+mj-lt"/>
              <a:ea typeface="Segoe UI Black" panose="020B0A02040204020203" pitchFamily="34" charset="0"/>
              <a:cs typeface="Segoe UI Semibold" panose="020B0702040204020203" pitchFamily="34" charset="0"/>
            </a:endParaRPr>
          </a:p>
          <a:p>
            <a:endParaRPr lang="en-US" sz="1000" b="1" i="0">
              <a:latin typeface="+mj-lt"/>
              <a:ea typeface="Segoe UI Black" panose="020B0A02040204020203" pitchFamily="34" charset="0"/>
              <a:cs typeface="Segoe UI Semibold" panose="020B0702040204020203" pitchFamily="34" charset="0"/>
            </a:endParaRPr>
          </a:p>
        </xdr:txBody>
      </xdr:sp>
    </xdr:grpSp>
    <xdr:clientData/>
  </xdr:twoCellAnchor>
  <xdr:twoCellAnchor>
    <xdr:from>
      <xdr:col>2</xdr:col>
      <xdr:colOff>105832</xdr:colOff>
      <xdr:row>12</xdr:row>
      <xdr:rowOff>127000</xdr:rowOff>
    </xdr:from>
    <xdr:to>
      <xdr:col>5</xdr:col>
      <xdr:colOff>21166</xdr:colOff>
      <xdr:row>19</xdr:row>
      <xdr:rowOff>63499</xdr:rowOff>
    </xdr:to>
    <xdr:sp macro="" textlink="">
      <xdr:nvSpPr>
        <xdr:cNvPr id="56" name="Rectangle: Rounded Corners 55">
          <a:extLst>
            <a:ext uri="{FF2B5EF4-FFF2-40B4-BE49-F238E27FC236}">
              <a16:creationId xmlns:a16="http://schemas.microsoft.com/office/drawing/2014/main" id="{325A6BAC-AB05-4B9F-A9A6-F480D224C01B}"/>
            </a:ext>
          </a:extLst>
        </xdr:cNvPr>
        <xdr:cNvSpPr/>
      </xdr:nvSpPr>
      <xdr:spPr>
        <a:xfrm>
          <a:off x="1333499" y="2413000"/>
          <a:ext cx="1756834" cy="1269999"/>
        </a:xfrm>
        <a:prstGeom prst="roundRect">
          <a:avLst>
            <a:gd name="adj" fmla="val 9167"/>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161926</xdr:colOff>
      <xdr:row>13</xdr:row>
      <xdr:rowOff>2117</xdr:rowOff>
    </xdr:from>
    <xdr:to>
      <xdr:col>4</xdr:col>
      <xdr:colOff>582084</xdr:colOff>
      <xdr:row>18</xdr:row>
      <xdr:rowOff>158750</xdr:rowOff>
    </xdr:to>
    <xdr:grpSp>
      <xdr:nvGrpSpPr>
        <xdr:cNvPr id="19" name="Group 18">
          <a:extLst>
            <a:ext uri="{FF2B5EF4-FFF2-40B4-BE49-F238E27FC236}">
              <a16:creationId xmlns:a16="http://schemas.microsoft.com/office/drawing/2014/main" id="{4567A678-E31D-483B-A610-3818F6639D41}"/>
            </a:ext>
          </a:extLst>
        </xdr:cNvPr>
        <xdr:cNvGrpSpPr/>
      </xdr:nvGrpSpPr>
      <xdr:grpSpPr>
        <a:xfrm>
          <a:off x="1381126" y="2478617"/>
          <a:ext cx="1639358" cy="1109133"/>
          <a:chOff x="1392094" y="2552700"/>
          <a:chExt cx="1685925" cy="1077074"/>
        </a:xfrm>
      </xdr:grpSpPr>
      <mc:AlternateContent xmlns:mc="http://schemas.openxmlformats.org/markup-compatibility/2006" xmlns:a14="http://schemas.microsoft.com/office/drawing/2010/main">
        <mc:Choice Requires="a14">
          <xdr:graphicFrame macro="">
            <xdr:nvGraphicFramePr>
              <xdr:cNvPr id="68" name="Platform 3">
                <a:extLst>
                  <a:ext uri="{FF2B5EF4-FFF2-40B4-BE49-F238E27FC236}">
                    <a16:creationId xmlns:a16="http://schemas.microsoft.com/office/drawing/2014/main" id="{4E3FA542-8F68-4FAB-8788-6DAA68ACD877}"/>
                  </a:ext>
                </a:extLst>
              </xdr:cNvPr>
              <xdr:cNvGraphicFramePr/>
            </xdr:nvGraphicFramePr>
            <xdr:xfrm>
              <a:off x="1392094" y="2582025"/>
              <a:ext cx="1685925" cy="1047749"/>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1389593" y="2508815"/>
                <a:ext cx="1647824" cy="1078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9" name="Picture 68">
            <a:extLst>
              <a:ext uri="{FF2B5EF4-FFF2-40B4-BE49-F238E27FC236}">
                <a16:creationId xmlns:a16="http://schemas.microsoft.com/office/drawing/2014/main" id="{7232E9F9-16C4-4F2E-8B89-46F8B9C04C77}"/>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colorTemperature colorTemp="11500"/>
                    </a14:imgEffect>
                  </a14:imgLayer>
                </a14:imgProps>
              </a:ext>
              <a:ext uri="{28A0092B-C50C-407E-A947-70E740481C1C}">
                <a14:useLocalDpi xmlns:a14="http://schemas.microsoft.com/office/drawing/2010/main" val="0"/>
              </a:ext>
            </a:extLst>
          </a:blip>
          <a:stretch>
            <a:fillRect/>
          </a:stretch>
        </xdr:blipFill>
        <xdr:spPr>
          <a:xfrm>
            <a:off x="1495426" y="2600325"/>
            <a:ext cx="214311" cy="214311"/>
          </a:xfrm>
          <a:prstGeom prst="rect">
            <a:avLst/>
          </a:prstGeom>
          <a:noFill/>
        </xdr:spPr>
      </xdr:pic>
      <xdr:pic>
        <xdr:nvPicPr>
          <xdr:cNvPr id="71" name="Picture 70">
            <a:extLst>
              <a:ext uri="{FF2B5EF4-FFF2-40B4-BE49-F238E27FC236}">
                <a16:creationId xmlns:a16="http://schemas.microsoft.com/office/drawing/2014/main" id="{A6BE88EC-3FD9-4977-B496-CE6F2268C4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71651" y="2609851"/>
            <a:ext cx="247650" cy="247650"/>
          </a:xfrm>
          <a:prstGeom prst="rect">
            <a:avLst/>
          </a:prstGeom>
        </xdr:spPr>
      </xdr:pic>
      <xdr:pic>
        <xdr:nvPicPr>
          <xdr:cNvPr id="78" name="Picture 77">
            <a:extLst>
              <a:ext uri="{FF2B5EF4-FFF2-40B4-BE49-F238E27FC236}">
                <a16:creationId xmlns:a16="http://schemas.microsoft.com/office/drawing/2014/main" id="{281C66BB-239F-442B-8946-DFD9F487A6F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05025" y="2552700"/>
            <a:ext cx="300037" cy="300037"/>
          </a:xfrm>
          <a:prstGeom prst="rect">
            <a:avLst/>
          </a:prstGeom>
        </xdr:spPr>
      </xdr:pic>
    </xdr:grpSp>
    <xdr:clientData/>
  </xdr:twoCellAnchor>
  <xdr:twoCellAnchor>
    <xdr:from>
      <xdr:col>2</xdr:col>
      <xdr:colOff>189017</xdr:colOff>
      <xdr:row>6</xdr:row>
      <xdr:rowOff>174192</xdr:rowOff>
    </xdr:from>
    <xdr:to>
      <xdr:col>4</xdr:col>
      <xdr:colOff>332550</xdr:colOff>
      <xdr:row>8</xdr:row>
      <xdr:rowOff>95250</xdr:rowOff>
    </xdr:to>
    <xdr:sp macro="" textlink="">
      <xdr:nvSpPr>
        <xdr:cNvPr id="67" name="TextBox 66">
          <a:extLst>
            <a:ext uri="{FF2B5EF4-FFF2-40B4-BE49-F238E27FC236}">
              <a16:creationId xmlns:a16="http://schemas.microsoft.com/office/drawing/2014/main" id="{CA2D1D7C-F32B-4591-8D53-5B01696AAE85}"/>
            </a:ext>
          </a:extLst>
        </xdr:cNvPr>
        <xdr:cNvSpPr txBox="1"/>
      </xdr:nvSpPr>
      <xdr:spPr>
        <a:xfrm>
          <a:off x="1416684" y="1317192"/>
          <a:ext cx="1371199" cy="302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latin typeface="+mj-lt"/>
              <a:ea typeface="Segoe UI Black" panose="020B0A02040204020203" pitchFamily="34" charset="0"/>
              <a:cs typeface="Segoe UI Semibold" panose="020B0702040204020203" pitchFamily="34" charset="0"/>
            </a:rPr>
            <a:t>Total</a:t>
          </a:r>
        </a:p>
      </xdr:txBody>
    </xdr:sp>
    <xdr:clientData/>
  </xdr:twoCellAnchor>
  <xdr:twoCellAnchor>
    <xdr:from>
      <xdr:col>2</xdr:col>
      <xdr:colOff>137582</xdr:colOff>
      <xdr:row>20</xdr:row>
      <xdr:rowOff>10584</xdr:rowOff>
    </xdr:from>
    <xdr:to>
      <xdr:col>4</xdr:col>
      <xdr:colOff>391583</xdr:colOff>
      <xdr:row>23</xdr:row>
      <xdr:rowOff>42334</xdr:rowOff>
    </xdr:to>
    <xdr:sp macro="" textlink="Rough!C15">
      <xdr:nvSpPr>
        <xdr:cNvPr id="5" name="TextBox 4">
          <a:extLst>
            <a:ext uri="{FF2B5EF4-FFF2-40B4-BE49-F238E27FC236}">
              <a16:creationId xmlns:a16="http://schemas.microsoft.com/office/drawing/2014/main" id="{D232E3C8-B580-4C5C-89A2-92F565180866}"/>
            </a:ext>
          </a:extLst>
        </xdr:cNvPr>
        <xdr:cNvSpPr txBox="1"/>
      </xdr:nvSpPr>
      <xdr:spPr>
        <a:xfrm>
          <a:off x="1365249" y="3820584"/>
          <a:ext cx="1481667"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FFF05E-7926-4AFC-8F76-2F114CAFDA52}" type="TxLink">
            <a:rPr lang="en-US" sz="2800" b="1" i="0" u="none" strike="noStrike">
              <a:solidFill>
                <a:srgbClr val="00D661"/>
              </a:solidFill>
              <a:latin typeface="Segoe UI Black" panose="020B0A02040204020203" pitchFamily="34" charset="0"/>
              <a:ea typeface="Segoe UI Black" panose="020B0A02040204020203" pitchFamily="34" charset="0"/>
              <a:cs typeface="Calibri"/>
            </a:rPr>
            <a:pPr/>
            <a:t>897.2K</a:t>
          </a:fld>
          <a:endParaRPr lang="en-US" sz="2800" b="1">
            <a:solidFill>
              <a:srgbClr val="00D661"/>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170391</xdr:colOff>
      <xdr:row>31</xdr:row>
      <xdr:rowOff>179916</xdr:rowOff>
    </xdr:from>
    <xdr:to>
      <xdr:col>4</xdr:col>
      <xdr:colOff>149225</xdr:colOff>
      <xdr:row>35</xdr:row>
      <xdr:rowOff>21166</xdr:rowOff>
    </xdr:to>
    <xdr:sp macro="" textlink="Rough!D15">
      <xdr:nvSpPr>
        <xdr:cNvPr id="72" name="TextBox 71">
          <a:extLst>
            <a:ext uri="{FF2B5EF4-FFF2-40B4-BE49-F238E27FC236}">
              <a16:creationId xmlns:a16="http://schemas.microsoft.com/office/drawing/2014/main" id="{69426DDF-266F-4CAD-AD1C-93BE8E3FFA92}"/>
            </a:ext>
          </a:extLst>
        </xdr:cNvPr>
        <xdr:cNvSpPr txBox="1"/>
      </xdr:nvSpPr>
      <xdr:spPr>
        <a:xfrm>
          <a:off x="1398058" y="6085416"/>
          <a:ext cx="12065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097D1A-654F-4889-A2CB-2E7B7F94B2B7}" type="TxLink">
            <a:rPr lang="en-US" sz="2800" b="0" i="0" u="none" strike="noStrike">
              <a:solidFill>
                <a:srgbClr val="00D661"/>
              </a:solidFill>
              <a:latin typeface="Segoe UI Black" panose="020B0A02040204020203" pitchFamily="34" charset="0"/>
              <a:ea typeface="Segoe UI Black" panose="020B0A02040204020203" pitchFamily="34" charset="0"/>
              <a:cs typeface="Calibri"/>
            </a:rPr>
            <a:pPr/>
            <a:t>93.4K</a:t>
          </a:fld>
          <a:endParaRPr lang="en-US" sz="2800">
            <a:solidFill>
              <a:srgbClr val="00D661"/>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142875</xdr:colOff>
      <xdr:row>26</xdr:row>
      <xdr:rowOff>25401</xdr:rowOff>
    </xdr:from>
    <xdr:to>
      <xdr:col>4</xdr:col>
      <xdr:colOff>433917</xdr:colOff>
      <xdr:row>29</xdr:row>
      <xdr:rowOff>57151</xdr:rowOff>
    </xdr:to>
    <xdr:sp macro="" textlink="Rough!E15">
      <xdr:nvSpPr>
        <xdr:cNvPr id="73" name="TextBox 72">
          <a:extLst>
            <a:ext uri="{FF2B5EF4-FFF2-40B4-BE49-F238E27FC236}">
              <a16:creationId xmlns:a16="http://schemas.microsoft.com/office/drawing/2014/main" id="{218B50BC-3421-4897-9DA6-655B3EB498DE}"/>
            </a:ext>
          </a:extLst>
        </xdr:cNvPr>
        <xdr:cNvSpPr txBox="1"/>
      </xdr:nvSpPr>
      <xdr:spPr>
        <a:xfrm>
          <a:off x="1370542" y="4978401"/>
          <a:ext cx="1518708"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AF8B9-013C-4BA8-971E-EA97A049F4E3}" type="TxLink">
            <a:rPr lang="en-US" sz="2800" b="0" i="0" u="none" strike="noStrike">
              <a:solidFill>
                <a:srgbClr val="00D661"/>
              </a:solidFill>
              <a:latin typeface="Segoe UI Black" panose="020B0A02040204020203" pitchFamily="34" charset="0"/>
              <a:ea typeface="Segoe UI Black" panose="020B0A02040204020203" pitchFamily="34" charset="0"/>
              <a:cs typeface="Calibri"/>
            </a:rPr>
            <a:pPr/>
            <a:t>67.1K</a:t>
          </a:fld>
          <a:endParaRPr lang="en-US" sz="2800">
            <a:solidFill>
              <a:srgbClr val="00D66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211666</xdr:colOff>
      <xdr:row>19</xdr:row>
      <xdr:rowOff>84667</xdr:rowOff>
    </xdr:from>
    <xdr:to>
      <xdr:col>26</xdr:col>
      <xdr:colOff>603250</xdr:colOff>
      <xdr:row>38</xdr:row>
      <xdr:rowOff>21167</xdr:rowOff>
    </xdr:to>
    <xdr:sp macro="" textlink="">
      <xdr:nvSpPr>
        <xdr:cNvPr id="77" name="Rectangle: Rounded Corners 76">
          <a:extLst>
            <a:ext uri="{FF2B5EF4-FFF2-40B4-BE49-F238E27FC236}">
              <a16:creationId xmlns:a16="http://schemas.microsoft.com/office/drawing/2014/main" id="{57064F14-EF6A-4BC5-80FD-FE9D8F93D1CC}"/>
            </a:ext>
          </a:extLst>
        </xdr:cNvPr>
        <xdr:cNvSpPr/>
      </xdr:nvSpPr>
      <xdr:spPr>
        <a:xfrm>
          <a:off x="3280833" y="3704167"/>
          <a:ext cx="13282084" cy="3556000"/>
        </a:xfrm>
        <a:prstGeom prst="roundRect">
          <a:avLst>
            <a:gd name="adj" fmla="val 193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296333</xdr:colOff>
      <xdr:row>19</xdr:row>
      <xdr:rowOff>169333</xdr:rowOff>
    </xdr:from>
    <xdr:to>
      <xdr:col>13</xdr:col>
      <xdr:colOff>275167</xdr:colOff>
      <xdr:row>37</xdr:row>
      <xdr:rowOff>10583</xdr:rowOff>
    </xdr:to>
    <xdr:grpSp>
      <xdr:nvGrpSpPr>
        <xdr:cNvPr id="79" name="Group 78">
          <a:extLst>
            <a:ext uri="{FF2B5EF4-FFF2-40B4-BE49-F238E27FC236}">
              <a16:creationId xmlns:a16="http://schemas.microsoft.com/office/drawing/2014/main" id="{119C0292-219D-4BF8-A337-F8A359B5D229}"/>
            </a:ext>
          </a:extLst>
        </xdr:cNvPr>
        <xdr:cNvGrpSpPr/>
      </xdr:nvGrpSpPr>
      <xdr:grpSpPr>
        <a:xfrm>
          <a:off x="3344333" y="3788833"/>
          <a:ext cx="4855634" cy="3270250"/>
          <a:chOff x="1356358" y="2434899"/>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81" name="Rectangle: Rounded Corners 80">
            <a:extLst>
              <a:ext uri="{FF2B5EF4-FFF2-40B4-BE49-F238E27FC236}">
                <a16:creationId xmlns:a16="http://schemas.microsoft.com/office/drawing/2014/main" id="{CFBB24ED-0259-4751-BB17-089EC5203261}"/>
              </a:ext>
            </a:extLst>
          </xdr:cNvPr>
          <xdr:cNvSpPr/>
        </xdr:nvSpPr>
        <xdr:spPr>
          <a:xfrm>
            <a:off x="1356358" y="2434899"/>
            <a:ext cx="1668785" cy="958661"/>
          </a:xfrm>
          <a:prstGeom prst="roundRect">
            <a:avLst>
              <a:gd name="adj" fmla="val 3953"/>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82" name="TextBox 81">
            <a:extLst>
              <a:ext uri="{FF2B5EF4-FFF2-40B4-BE49-F238E27FC236}">
                <a16:creationId xmlns:a16="http://schemas.microsoft.com/office/drawing/2014/main" id="{2FEFDF54-59F4-4EEB-BF74-6854D0598E8D}"/>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xdr:from>
      <xdr:col>5</xdr:col>
      <xdr:colOff>381001</xdr:colOff>
      <xdr:row>21</xdr:row>
      <xdr:rowOff>148168</xdr:rowOff>
    </xdr:from>
    <xdr:to>
      <xdr:col>13</xdr:col>
      <xdr:colOff>275168</xdr:colOff>
      <xdr:row>36</xdr:row>
      <xdr:rowOff>179918</xdr:rowOff>
    </xdr:to>
    <xdr:graphicFrame macro="">
      <xdr:nvGraphicFramePr>
        <xdr:cNvPr id="74" name="Chart 73">
          <a:extLst>
            <a:ext uri="{FF2B5EF4-FFF2-40B4-BE49-F238E27FC236}">
              <a16:creationId xmlns:a16="http://schemas.microsoft.com/office/drawing/2014/main" id="{381D3351-BED8-4A29-8E45-037599763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402168</xdr:colOff>
      <xdr:row>19</xdr:row>
      <xdr:rowOff>179918</xdr:rowOff>
    </xdr:from>
    <xdr:to>
      <xdr:col>20</xdr:col>
      <xdr:colOff>465667</xdr:colOff>
      <xdr:row>37</xdr:row>
      <xdr:rowOff>21168</xdr:rowOff>
    </xdr:to>
    <xdr:grpSp>
      <xdr:nvGrpSpPr>
        <xdr:cNvPr id="84" name="Group 83">
          <a:extLst>
            <a:ext uri="{FF2B5EF4-FFF2-40B4-BE49-F238E27FC236}">
              <a16:creationId xmlns:a16="http://schemas.microsoft.com/office/drawing/2014/main" id="{EDCB910F-D993-4757-91A1-B50DFA185F94}"/>
            </a:ext>
          </a:extLst>
        </xdr:cNvPr>
        <xdr:cNvGrpSpPr/>
      </xdr:nvGrpSpPr>
      <xdr:grpSpPr>
        <a:xfrm>
          <a:off x="8326968" y="3799418"/>
          <a:ext cx="4330699" cy="3270250"/>
          <a:chOff x="1360409" y="2431797"/>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85" name="Rectangle: Rounded Corners 84">
            <a:extLst>
              <a:ext uri="{FF2B5EF4-FFF2-40B4-BE49-F238E27FC236}">
                <a16:creationId xmlns:a16="http://schemas.microsoft.com/office/drawing/2014/main" id="{C1004473-D2ED-4356-B707-B072ABE541A6}"/>
              </a:ext>
            </a:extLst>
          </xdr:cNvPr>
          <xdr:cNvSpPr/>
        </xdr:nvSpPr>
        <xdr:spPr>
          <a:xfrm>
            <a:off x="1360409" y="2431797"/>
            <a:ext cx="1668785" cy="958661"/>
          </a:xfrm>
          <a:prstGeom prst="roundRect">
            <a:avLst>
              <a:gd name="adj" fmla="val 3953"/>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86" name="TextBox 85">
            <a:extLst>
              <a:ext uri="{FF2B5EF4-FFF2-40B4-BE49-F238E27FC236}">
                <a16:creationId xmlns:a16="http://schemas.microsoft.com/office/drawing/2014/main" id="{40527EEB-5E0E-4EE9-9424-33245219EE31}"/>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xdr:from>
      <xdr:col>13</xdr:col>
      <xdr:colOff>433917</xdr:colOff>
      <xdr:row>20</xdr:row>
      <xdr:rowOff>74083</xdr:rowOff>
    </xdr:from>
    <xdr:to>
      <xdr:col>20</xdr:col>
      <xdr:colOff>423333</xdr:colOff>
      <xdr:row>36</xdr:row>
      <xdr:rowOff>127000</xdr:rowOff>
    </xdr:to>
    <xdr:graphicFrame macro="">
      <xdr:nvGraphicFramePr>
        <xdr:cNvPr id="83" name="Chart 82">
          <a:extLst>
            <a:ext uri="{FF2B5EF4-FFF2-40B4-BE49-F238E27FC236}">
              <a16:creationId xmlns:a16="http://schemas.microsoft.com/office/drawing/2014/main" id="{83D1F766-E273-4F4D-B820-120A18650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592666</xdr:colOff>
      <xdr:row>19</xdr:row>
      <xdr:rowOff>171450</xdr:rowOff>
    </xdr:from>
    <xdr:to>
      <xdr:col>26</xdr:col>
      <xdr:colOff>550333</xdr:colOff>
      <xdr:row>37</xdr:row>
      <xdr:rowOff>42334</xdr:rowOff>
    </xdr:to>
    <xdr:grpSp>
      <xdr:nvGrpSpPr>
        <xdr:cNvPr id="58" name="Group 57">
          <a:extLst>
            <a:ext uri="{FF2B5EF4-FFF2-40B4-BE49-F238E27FC236}">
              <a16:creationId xmlns:a16="http://schemas.microsoft.com/office/drawing/2014/main" id="{089A0B51-B1EC-4720-B0B4-D8CD945DDC7A}"/>
            </a:ext>
          </a:extLst>
        </xdr:cNvPr>
        <xdr:cNvGrpSpPr/>
      </xdr:nvGrpSpPr>
      <xdr:grpSpPr>
        <a:xfrm>
          <a:off x="12784666" y="3790950"/>
          <a:ext cx="3615267" cy="3299884"/>
          <a:chOff x="1360409" y="2423110"/>
          <a:chExt cx="1668785" cy="967348"/>
        </a:xfrm>
        <a:solidFill>
          <a:schemeClr val="bg1">
            <a:lumMod val="85000"/>
          </a:schemeClr>
        </a:solidFill>
        <a:effectLst>
          <a:outerShdw blurRad="50800" dist="38100" dir="5400000" algn="t" rotWithShape="0">
            <a:prstClr val="black">
              <a:alpha val="40000"/>
            </a:prstClr>
          </a:outerShdw>
        </a:effectLst>
      </xdr:grpSpPr>
      <xdr:sp macro="" textlink="">
        <xdr:nvSpPr>
          <xdr:cNvPr id="59" name="Rectangle: Rounded Corners 58">
            <a:extLst>
              <a:ext uri="{FF2B5EF4-FFF2-40B4-BE49-F238E27FC236}">
                <a16:creationId xmlns:a16="http://schemas.microsoft.com/office/drawing/2014/main" id="{D87D193F-82BB-4608-AD91-5A196556B5E6}"/>
              </a:ext>
            </a:extLst>
          </xdr:cNvPr>
          <xdr:cNvSpPr/>
        </xdr:nvSpPr>
        <xdr:spPr>
          <a:xfrm>
            <a:off x="1360409" y="2423110"/>
            <a:ext cx="1668785" cy="967348"/>
          </a:xfrm>
          <a:prstGeom prst="roundRect">
            <a:avLst>
              <a:gd name="adj" fmla="val 3953"/>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60" name="TextBox 59">
            <a:extLst>
              <a:ext uri="{FF2B5EF4-FFF2-40B4-BE49-F238E27FC236}">
                <a16:creationId xmlns:a16="http://schemas.microsoft.com/office/drawing/2014/main" id="{4C265597-8421-47FB-8DDA-729787B78D93}"/>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xdr:from>
      <xdr:col>21</xdr:col>
      <xdr:colOff>10583</xdr:colOff>
      <xdr:row>20</xdr:row>
      <xdr:rowOff>52917</xdr:rowOff>
    </xdr:from>
    <xdr:to>
      <xdr:col>26</xdr:col>
      <xdr:colOff>520987</xdr:colOff>
      <xdr:row>36</xdr:row>
      <xdr:rowOff>179917</xdr:rowOff>
    </xdr:to>
    <xdr:graphicFrame macro="">
      <xdr:nvGraphicFramePr>
        <xdr:cNvPr id="57" name="Chart 56">
          <a:extLst>
            <a:ext uri="{FF2B5EF4-FFF2-40B4-BE49-F238E27FC236}">
              <a16:creationId xmlns:a16="http://schemas.microsoft.com/office/drawing/2014/main" id="{D8403A61-AB48-4BFD-B929-961F195AB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307975</xdr:colOff>
      <xdr:row>11</xdr:row>
      <xdr:rowOff>74082</xdr:rowOff>
    </xdr:from>
    <xdr:to>
      <xdr:col>9</xdr:col>
      <xdr:colOff>0</xdr:colOff>
      <xdr:row>17</xdr:row>
      <xdr:rowOff>169333</xdr:rowOff>
    </xdr:to>
    <xdr:grpSp>
      <xdr:nvGrpSpPr>
        <xdr:cNvPr id="63" name="Group 62">
          <a:extLst>
            <a:ext uri="{FF2B5EF4-FFF2-40B4-BE49-F238E27FC236}">
              <a16:creationId xmlns:a16="http://schemas.microsoft.com/office/drawing/2014/main" id="{1792AD61-D153-411D-ABB9-B9293BAEFE58}"/>
            </a:ext>
          </a:extLst>
        </xdr:cNvPr>
        <xdr:cNvGrpSpPr/>
      </xdr:nvGrpSpPr>
      <xdr:grpSpPr>
        <a:xfrm>
          <a:off x="3355975" y="2169582"/>
          <a:ext cx="2130425" cy="1238251"/>
          <a:chOff x="1356358" y="2434899"/>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66" name="Rectangle: Rounded Corners 65">
            <a:extLst>
              <a:ext uri="{FF2B5EF4-FFF2-40B4-BE49-F238E27FC236}">
                <a16:creationId xmlns:a16="http://schemas.microsoft.com/office/drawing/2014/main" id="{CBD2845D-05F5-4487-905C-84BF3A347009}"/>
              </a:ext>
            </a:extLst>
          </xdr:cNvPr>
          <xdr:cNvSpPr/>
        </xdr:nvSpPr>
        <xdr:spPr>
          <a:xfrm>
            <a:off x="1356358" y="2434899"/>
            <a:ext cx="1668785" cy="958661"/>
          </a:xfrm>
          <a:prstGeom prst="roundRect">
            <a:avLst>
              <a:gd name="adj" fmla="val 10425"/>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75" name="TextBox 74">
            <a:extLst>
              <a:ext uri="{FF2B5EF4-FFF2-40B4-BE49-F238E27FC236}">
                <a16:creationId xmlns:a16="http://schemas.microsoft.com/office/drawing/2014/main" id="{3965EC03-6A9A-4694-90F6-9A6E76BEB162}"/>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76" name="TextBox 75">
            <a:extLst>
              <a:ext uri="{FF2B5EF4-FFF2-40B4-BE49-F238E27FC236}">
                <a16:creationId xmlns:a16="http://schemas.microsoft.com/office/drawing/2014/main" id="{11BA742C-4DF3-4354-9D31-66E6357280C2}"/>
              </a:ext>
            </a:extLst>
          </xdr:cNvPr>
          <xdr:cNvSpPr txBox="1"/>
        </xdr:nvSpPr>
        <xdr:spPr>
          <a:xfrm>
            <a:off x="1416904" y="2834751"/>
            <a:ext cx="1294875" cy="244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a:latin typeface="+mj-lt"/>
                <a:ea typeface="Segoe UI Black" panose="020B0A02040204020203" pitchFamily="34" charset="0"/>
                <a:cs typeface="Segoe UI Semibold" panose="020B0702040204020203" pitchFamily="34" charset="0"/>
              </a:rPr>
              <a:t>Insta</a:t>
            </a:r>
            <a:r>
              <a:rPr lang="en-US" sz="1600" b="1" i="0" baseline="0">
                <a:latin typeface="+mj-lt"/>
                <a:ea typeface="Segoe UI Black" panose="020B0A02040204020203" pitchFamily="34" charset="0"/>
                <a:cs typeface="Segoe UI Semibold" panose="020B0702040204020203" pitchFamily="34" charset="0"/>
              </a:rPr>
              <a:t> Followers</a:t>
            </a:r>
            <a:endParaRPr lang="en-US" sz="1100" b="1" i="0">
              <a:latin typeface="+mj-lt"/>
              <a:ea typeface="Segoe UI Black" panose="020B0A02040204020203" pitchFamily="34" charset="0"/>
              <a:cs typeface="Segoe UI Semibold" panose="020B0702040204020203" pitchFamily="34" charset="0"/>
            </a:endParaRPr>
          </a:p>
          <a:p>
            <a:endParaRPr lang="en-US" sz="1000" b="1" i="0">
              <a:latin typeface="+mj-lt"/>
              <a:ea typeface="Segoe UI Black" panose="020B0A02040204020203" pitchFamily="34" charset="0"/>
              <a:cs typeface="Segoe UI Semibold" panose="020B0702040204020203" pitchFamily="34" charset="0"/>
            </a:endParaRPr>
          </a:p>
        </xdr:txBody>
      </xdr:sp>
    </xdr:grpSp>
    <xdr:clientData/>
  </xdr:twoCellAnchor>
  <xdr:twoCellAnchor>
    <xdr:from>
      <xdr:col>9</xdr:col>
      <xdr:colOff>138642</xdr:colOff>
      <xdr:row>11</xdr:row>
      <xdr:rowOff>84666</xdr:rowOff>
    </xdr:from>
    <xdr:to>
      <xdr:col>12</xdr:col>
      <xdr:colOff>444500</xdr:colOff>
      <xdr:row>17</xdr:row>
      <xdr:rowOff>179917</xdr:rowOff>
    </xdr:to>
    <xdr:grpSp>
      <xdr:nvGrpSpPr>
        <xdr:cNvPr id="111" name="Group 110">
          <a:extLst>
            <a:ext uri="{FF2B5EF4-FFF2-40B4-BE49-F238E27FC236}">
              <a16:creationId xmlns:a16="http://schemas.microsoft.com/office/drawing/2014/main" id="{D95E6C44-7A89-4BB0-850A-4A1CDB96D5AF}"/>
            </a:ext>
          </a:extLst>
        </xdr:cNvPr>
        <xdr:cNvGrpSpPr/>
      </xdr:nvGrpSpPr>
      <xdr:grpSpPr>
        <a:xfrm>
          <a:off x="5625042" y="2180166"/>
          <a:ext cx="2134658" cy="1238251"/>
          <a:chOff x="1356358" y="2434899"/>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112" name="Rectangle: Rounded Corners 111">
            <a:extLst>
              <a:ext uri="{FF2B5EF4-FFF2-40B4-BE49-F238E27FC236}">
                <a16:creationId xmlns:a16="http://schemas.microsoft.com/office/drawing/2014/main" id="{DF666417-7275-4A50-A754-586CF9D5DCE5}"/>
              </a:ext>
            </a:extLst>
          </xdr:cNvPr>
          <xdr:cNvSpPr/>
        </xdr:nvSpPr>
        <xdr:spPr>
          <a:xfrm>
            <a:off x="1356358" y="2434899"/>
            <a:ext cx="1668785" cy="958661"/>
          </a:xfrm>
          <a:prstGeom prst="roundRect">
            <a:avLst>
              <a:gd name="adj" fmla="val 10425"/>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114" name="TextBox 113">
            <a:extLst>
              <a:ext uri="{FF2B5EF4-FFF2-40B4-BE49-F238E27FC236}">
                <a16:creationId xmlns:a16="http://schemas.microsoft.com/office/drawing/2014/main" id="{08CB1A2A-3F37-4942-A29D-A0224ACCB971}"/>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15" name="TextBox 114">
            <a:extLst>
              <a:ext uri="{FF2B5EF4-FFF2-40B4-BE49-F238E27FC236}">
                <a16:creationId xmlns:a16="http://schemas.microsoft.com/office/drawing/2014/main" id="{A91D967D-86C0-4F5F-9AE2-97262D1688BB}"/>
              </a:ext>
            </a:extLst>
          </xdr:cNvPr>
          <xdr:cNvSpPr txBox="1"/>
        </xdr:nvSpPr>
        <xdr:spPr>
          <a:xfrm>
            <a:off x="1387120" y="2826557"/>
            <a:ext cx="1476688" cy="267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a:latin typeface="+mj-lt"/>
                <a:ea typeface="Segoe UI Black" panose="020B0A02040204020203" pitchFamily="34" charset="0"/>
                <a:cs typeface="Segoe UI Semibold" panose="020B0702040204020203" pitchFamily="34" charset="0"/>
              </a:rPr>
              <a:t>Twitter</a:t>
            </a:r>
            <a:r>
              <a:rPr lang="en-US" sz="1600" b="1" i="0" baseline="0">
                <a:latin typeface="+mj-lt"/>
                <a:ea typeface="Segoe UI Black" panose="020B0A02040204020203" pitchFamily="34" charset="0"/>
                <a:cs typeface="Segoe UI Semibold" panose="020B0702040204020203" pitchFamily="34" charset="0"/>
              </a:rPr>
              <a:t> Followers</a:t>
            </a:r>
            <a:endParaRPr lang="en-US" sz="1600" b="1" i="0">
              <a:latin typeface="+mj-lt"/>
              <a:ea typeface="Segoe UI Black" panose="020B0A02040204020203" pitchFamily="34" charset="0"/>
              <a:cs typeface="Segoe UI Semibold" panose="020B0702040204020203" pitchFamily="34" charset="0"/>
            </a:endParaRPr>
          </a:p>
          <a:p>
            <a:endParaRPr lang="en-US" sz="1000" b="1" i="0">
              <a:latin typeface="+mj-lt"/>
              <a:ea typeface="Segoe UI Black" panose="020B0A02040204020203" pitchFamily="34" charset="0"/>
              <a:cs typeface="Segoe UI Semibold" panose="020B0702040204020203" pitchFamily="34" charset="0"/>
            </a:endParaRPr>
          </a:p>
        </xdr:txBody>
      </xdr:sp>
    </xdr:grpSp>
    <xdr:clientData/>
  </xdr:twoCellAnchor>
  <xdr:twoCellAnchor>
    <xdr:from>
      <xdr:col>12</xdr:col>
      <xdr:colOff>545080</xdr:colOff>
      <xdr:row>11</xdr:row>
      <xdr:rowOff>74082</xdr:rowOff>
    </xdr:from>
    <xdr:to>
      <xdr:col>16</xdr:col>
      <xdr:colOff>264583</xdr:colOff>
      <xdr:row>17</xdr:row>
      <xdr:rowOff>169333</xdr:rowOff>
    </xdr:to>
    <xdr:grpSp>
      <xdr:nvGrpSpPr>
        <xdr:cNvPr id="116" name="Group 115">
          <a:extLst>
            <a:ext uri="{FF2B5EF4-FFF2-40B4-BE49-F238E27FC236}">
              <a16:creationId xmlns:a16="http://schemas.microsoft.com/office/drawing/2014/main" id="{6D69A09D-C603-4EBC-B486-25A7231EB639}"/>
            </a:ext>
          </a:extLst>
        </xdr:cNvPr>
        <xdr:cNvGrpSpPr/>
      </xdr:nvGrpSpPr>
      <xdr:grpSpPr>
        <a:xfrm>
          <a:off x="7860280" y="2169582"/>
          <a:ext cx="2157903" cy="1238251"/>
          <a:chOff x="1334834" y="2434899"/>
          <a:chExt cx="1690309" cy="958661"/>
        </a:xfrm>
        <a:solidFill>
          <a:schemeClr val="bg1">
            <a:lumMod val="85000"/>
          </a:schemeClr>
        </a:solidFill>
        <a:effectLst>
          <a:outerShdw blurRad="50800" dist="38100" dir="5400000" algn="t" rotWithShape="0">
            <a:prstClr val="black">
              <a:alpha val="40000"/>
            </a:prstClr>
          </a:outerShdw>
        </a:effectLst>
      </xdr:grpSpPr>
      <xdr:sp macro="" textlink="">
        <xdr:nvSpPr>
          <xdr:cNvPr id="117" name="Rectangle: Rounded Corners 116">
            <a:extLst>
              <a:ext uri="{FF2B5EF4-FFF2-40B4-BE49-F238E27FC236}">
                <a16:creationId xmlns:a16="http://schemas.microsoft.com/office/drawing/2014/main" id="{97853F0F-9C1A-4C0C-B8E4-7D17115AB4A4}"/>
              </a:ext>
            </a:extLst>
          </xdr:cNvPr>
          <xdr:cNvSpPr/>
        </xdr:nvSpPr>
        <xdr:spPr>
          <a:xfrm>
            <a:off x="1356358" y="2434899"/>
            <a:ext cx="1668785" cy="958661"/>
          </a:xfrm>
          <a:prstGeom prst="roundRect">
            <a:avLst>
              <a:gd name="adj" fmla="val 10425"/>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119" name="TextBox 118">
            <a:extLst>
              <a:ext uri="{FF2B5EF4-FFF2-40B4-BE49-F238E27FC236}">
                <a16:creationId xmlns:a16="http://schemas.microsoft.com/office/drawing/2014/main" id="{41E65743-F128-4F22-B15B-10B5480AFC08}"/>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20" name="TextBox 119">
            <a:extLst>
              <a:ext uri="{FF2B5EF4-FFF2-40B4-BE49-F238E27FC236}">
                <a16:creationId xmlns:a16="http://schemas.microsoft.com/office/drawing/2014/main" id="{14D0E81D-86AA-4435-ACBE-01F6216DB79C}"/>
              </a:ext>
            </a:extLst>
          </xdr:cNvPr>
          <xdr:cNvSpPr txBox="1"/>
        </xdr:nvSpPr>
        <xdr:spPr>
          <a:xfrm>
            <a:off x="1334834" y="2842126"/>
            <a:ext cx="1415910" cy="24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a:latin typeface="+mj-lt"/>
                <a:ea typeface="Segoe UI Black" panose="020B0A02040204020203" pitchFamily="34" charset="0"/>
                <a:cs typeface="Segoe UI Semibold" panose="020B0702040204020203" pitchFamily="34" charset="0"/>
              </a:rPr>
              <a:t>YouTube</a:t>
            </a:r>
            <a:r>
              <a:rPr lang="en-US" sz="1100" b="1" i="0" baseline="0">
                <a:latin typeface="+mj-lt"/>
                <a:ea typeface="Segoe UI Black" panose="020B0A02040204020203" pitchFamily="34" charset="0"/>
                <a:cs typeface="Segoe UI Semibold" panose="020B0702040204020203" pitchFamily="34" charset="0"/>
              </a:rPr>
              <a:t> </a:t>
            </a:r>
            <a:r>
              <a:rPr lang="en-US" sz="1400" b="1" i="0">
                <a:latin typeface="+mj-lt"/>
                <a:ea typeface="Segoe UI Black" panose="020B0A02040204020203" pitchFamily="34" charset="0"/>
                <a:cs typeface="Segoe UI Semibold" panose="020B0702040204020203" pitchFamily="34" charset="0"/>
              </a:rPr>
              <a:t>Followers</a:t>
            </a:r>
          </a:p>
        </xdr:txBody>
      </xdr:sp>
    </xdr:grpSp>
    <xdr:clientData/>
  </xdr:twoCellAnchor>
  <xdr:twoCellAnchor>
    <xdr:from>
      <xdr:col>8</xdr:col>
      <xdr:colOff>255058</xdr:colOff>
      <xdr:row>15</xdr:row>
      <xdr:rowOff>158749</xdr:rowOff>
    </xdr:from>
    <xdr:to>
      <xdr:col>8</xdr:col>
      <xdr:colOff>574421</xdr:colOff>
      <xdr:row>17</xdr:row>
      <xdr:rowOff>89076</xdr:rowOff>
    </xdr:to>
    <xdr:pic>
      <xdr:nvPicPr>
        <xdr:cNvPr id="121" name="Picture 120">
          <a:extLst>
            <a:ext uri="{FF2B5EF4-FFF2-40B4-BE49-F238E27FC236}">
              <a16:creationId xmlns:a16="http://schemas.microsoft.com/office/drawing/2014/main" id="{26117C5C-6434-4F1C-8E4B-33FB6AD0F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5725" y="3016249"/>
          <a:ext cx="319363" cy="311327"/>
        </a:xfrm>
        <a:prstGeom prst="rect">
          <a:avLst/>
        </a:prstGeom>
      </xdr:spPr>
    </xdr:pic>
    <xdr:clientData/>
  </xdr:twoCellAnchor>
  <xdr:twoCellAnchor>
    <xdr:from>
      <xdr:col>12</xdr:col>
      <xdr:colOff>85725</xdr:colOff>
      <xdr:row>15</xdr:row>
      <xdr:rowOff>169333</xdr:rowOff>
    </xdr:from>
    <xdr:to>
      <xdr:col>12</xdr:col>
      <xdr:colOff>405088</xdr:colOff>
      <xdr:row>17</xdr:row>
      <xdr:rowOff>99660</xdr:rowOff>
    </xdr:to>
    <xdr:pic>
      <xdr:nvPicPr>
        <xdr:cNvPr id="122" name="Picture 121">
          <a:extLst>
            <a:ext uri="{FF2B5EF4-FFF2-40B4-BE49-F238E27FC236}">
              <a16:creationId xmlns:a16="http://schemas.microsoft.com/office/drawing/2014/main" id="{EE859333-AC75-40D1-ACD5-8BC016AAF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1725" y="3026833"/>
          <a:ext cx="319363" cy="311327"/>
        </a:xfrm>
        <a:prstGeom prst="rect">
          <a:avLst/>
        </a:prstGeom>
      </xdr:spPr>
    </xdr:pic>
    <xdr:clientData/>
  </xdr:twoCellAnchor>
  <xdr:twoCellAnchor>
    <xdr:from>
      <xdr:col>15</xdr:col>
      <xdr:colOff>519641</xdr:colOff>
      <xdr:row>15</xdr:row>
      <xdr:rowOff>179915</xdr:rowOff>
    </xdr:from>
    <xdr:to>
      <xdr:col>16</xdr:col>
      <xdr:colOff>225171</xdr:colOff>
      <xdr:row>17</xdr:row>
      <xdr:rowOff>110242</xdr:rowOff>
    </xdr:to>
    <xdr:pic>
      <xdr:nvPicPr>
        <xdr:cNvPr id="123" name="Picture 122">
          <a:extLst>
            <a:ext uri="{FF2B5EF4-FFF2-40B4-BE49-F238E27FC236}">
              <a16:creationId xmlns:a16="http://schemas.microsoft.com/office/drawing/2014/main" id="{FDFF783B-25C0-4FD5-BCFA-06863334B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27141" y="3037415"/>
          <a:ext cx="319363" cy="311327"/>
        </a:xfrm>
        <a:prstGeom prst="rect">
          <a:avLst/>
        </a:prstGeom>
      </xdr:spPr>
    </xdr:pic>
    <xdr:clientData/>
  </xdr:twoCellAnchor>
  <xdr:oneCellAnchor>
    <xdr:from>
      <xdr:col>5</xdr:col>
      <xdr:colOff>342899</xdr:colOff>
      <xdr:row>11</xdr:row>
      <xdr:rowOff>171450</xdr:rowOff>
    </xdr:from>
    <xdr:ext cx="1552575" cy="577274"/>
    <xdr:sp macro="" textlink="Rough!$D$22">
      <xdr:nvSpPr>
        <xdr:cNvPr id="3" name="TextBox 2">
          <a:extLst>
            <a:ext uri="{FF2B5EF4-FFF2-40B4-BE49-F238E27FC236}">
              <a16:creationId xmlns:a16="http://schemas.microsoft.com/office/drawing/2014/main" id="{B8951898-4731-4EED-8C43-FE80BA42063F}"/>
            </a:ext>
          </a:extLst>
        </xdr:cNvPr>
        <xdr:cNvSpPr txBox="1"/>
      </xdr:nvSpPr>
      <xdr:spPr>
        <a:xfrm>
          <a:off x="3390899" y="2266950"/>
          <a:ext cx="1552575" cy="57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7A50989-749F-4392-81D7-ACE53FC68DD0}" type="TxLink">
            <a:rPr lang="en-US" sz="2800" b="1" i="0" u="none" strike="noStrike">
              <a:solidFill>
                <a:srgbClr val="00D661"/>
              </a:solidFill>
              <a:latin typeface="Segoe UI Black" panose="020B0A02040204020203" pitchFamily="34" charset="0"/>
              <a:ea typeface="Segoe UI Black" panose="020B0A02040204020203" pitchFamily="34" charset="0"/>
              <a:cs typeface="Calibri"/>
            </a:rPr>
            <a:pPr/>
            <a:t>15.6M</a:t>
          </a:fld>
          <a:endParaRPr lang="en-US" sz="2800" b="1">
            <a:solidFill>
              <a:srgbClr val="00D661"/>
            </a:solidFill>
            <a:latin typeface="Segoe UI Black" panose="020B0A02040204020203" pitchFamily="34" charset="0"/>
            <a:ea typeface="Segoe UI Black" panose="020B0A02040204020203" pitchFamily="34" charset="0"/>
          </a:endParaRPr>
        </a:p>
      </xdr:txBody>
    </xdr:sp>
    <xdr:clientData/>
  </xdr:oneCellAnchor>
  <xdr:oneCellAnchor>
    <xdr:from>
      <xdr:col>9</xdr:col>
      <xdr:colOff>133350</xdr:colOff>
      <xdr:row>12</xdr:row>
      <xdr:rowOff>9525</xdr:rowOff>
    </xdr:from>
    <xdr:ext cx="1571625" cy="577274"/>
    <xdr:sp macro="" textlink="Rough!$E$22">
      <xdr:nvSpPr>
        <xdr:cNvPr id="11" name="TextBox 10">
          <a:extLst>
            <a:ext uri="{FF2B5EF4-FFF2-40B4-BE49-F238E27FC236}">
              <a16:creationId xmlns:a16="http://schemas.microsoft.com/office/drawing/2014/main" id="{D402DC4D-376A-4627-ABAA-3F6F42092C66}"/>
            </a:ext>
          </a:extLst>
        </xdr:cNvPr>
        <xdr:cNvSpPr txBox="1"/>
      </xdr:nvSpPr>
      <xdr:spPr>
        <a:xfrm>
          <a:off x="5619750" y="2295525"/>
          <a:ext cx="1571625" cy="57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95231C9-0FC3-4209-8F6B-13C6BADD1218}" type="TxLink">
            <a:rPr lang="en-US" sz="2800" b="1" i="0" u="none" strike="noStrike">
              <a:solidFill>
                <a:srgbClr val="00D661"/>
              </a:solidFill>
              <a:latin typeface="Segoe UI Black" panose="020B0A02040204020203" pitchFamily="34" charset="0"/>
              <a:ea typeface="Segoe UI Black" panose="020B0A02040204020203" pitchFamily="34" charset="0"/>
              <a:cs typeface="Calibri"/>
            </a:rPr>
            <a:pPr/>
            <a:t>14.6M</a:t>
          </a:fld>
          <a:endParaRPr lang="en-US" sz="2800" b="1">
            <a:solidFill>
              <a:srgbClr val="00D661"/>
            </a:solidFill>
            <a:latin typeface="Segoe UI Black" panose="020B0A02040204020203" pitchFamily="34" charset="0"/>
            <a:ea typeface="Segoe UI Black" panose="020B0A02040204020203" pitchFamily="34" charset="0"/>
          </a:endParaRPr>
        </a:p>
      </xdr:txBody>
    </xdr:sp>
    <xdr:clientData/>
  </xdr:oneCellAnchor>
  <xdr:oneCellAnchor>
    <xdr:from>
      <xdr:col>12</xdr:col>
      <xdr:colOff>533400</xdr:colOff>
      <xdr:row>12</xdr:row>
      <xdr:rowOff>0</xdr:rowOff>
    </xdr:from>
    <xdr:ext cx="1571625" cy="577274"/>
    <xdr:sp macro="" textlink="Rough!$F$22">
      <xdr:nvSpPr>
        <xdr:cNvPr id="17" name="TextBox 16">
          <a:extLst>
            <a:ext uri="{FF2B5EF4-FFF2-40B4-BE49-F238E27FC236}">
              <a16:creationId xmlns:a16="http://schemas.microsoft.com/office/drawing/2014/main" id="{D4F9B405-93F4-4D9A-B8C9-F30CFD1807C8}"/>
            </a:ext>
          </a:extLst>
        </xdr:cNvPr>
        <xdr:cNvSpPr txBox="1"/>
      </xdr:nvSpPr>
      <xdr:spPr>
        <a:xfrm>
          <a:off x="7848600" y="2286000"/>
          <a:ext cx="1571625" cy="57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7D32F4E-3409-49D5-BF47-5FB950BFCAA6}" type="TxLink">
            <a:rPr lang="en-US" sz="2800" b="0" i="0" u="none" strike="noStrike">
              <a:solidFill>
                <a:srgbClr val="00D661"/>
              </a:solidFill>
              <a:latin typeface="Segoe UI Black" panose="020B0A02040204020203" pitchFamily="34" charset="0"/>
              <a:ea typeface="Segoe UI Black" panose="020B0A02040204020203" pitchFamily="34" charset="0"/>
              <a:cs typeface="Calibri"/>
            </a:rPr>
            <a:pPr/>
            <a:t>16.3M</a:t>
          </a:fld>
          <a:endParaRPr lang="en-US" sz="2800">
            <a:solidFill>
              <a:srgbClr val="00D661"/>
            </a:solidFill>
            <a:latin typeface="Segoe UI Black" panose="020B0A02040204020203" pitchFamily="34" charset="0"/>
            <a:ea typeface="Segoe UI Black" panose="020B0A02040204020203" pitchFamily="34" charset="0"/>
          </a:endParaRPr>
        </a:p>
      </xdr:txBody>
    </xdr:sp>
    <xdr:clientData/>
  </xdr:oneCellAnchor>
  <xdr:twoCellAnchor>
    <xdr:from>
      <xdr:col>16</xdr:col>
      <xdr:colOff>381000</xdr:colOff>
      <xdr:row>2</xdr:row>
      <xdr:rowOff>142875</xdr:rowOff>
    </xdr:from>
    <xdr:to>
      <xdr:col>26</xdr:col>
      <xdr:colOff>504825</xdr:colOff>
      <xdr:row>18</xdr:row>
      <xdr:rowOff>0</xdr:rowOff>
    </xdr:to>
    <xdr:grpSp>
      <xdr:nvGrpSpPr>
        <xdr:cNvPr id="129" name="Group 128">
          <a:extLst>
            <a:ext uri="{FF2B5EF4-FFF2-40B4-BE49-F238E27FC236}">
              <a16:creationId xmlns:a16="http://schemas.microsoft.com/office/drawing/2014/main" id="{FE00AB1A-3B13-43B2-922F-C44F3D8F015A}"/>
            </a:ext>
          </a:extLst>
        </xdr:cNvPr>
        <xdr:cNvGrpSpPr/>
      </xdr:nvGrpSpPr>
      <xdr:grpSpPr>
        <a:xfrm>
          <a:off x="10134600" y="523875"/>
          <a:ext cx="6219825" cy="2905125"/>
          <a:chOff x="1360409" y="2431797"/>
          <a:chExt cx="1668785" cy="958661"/>
        </a:xfrm>
        <a:solidFill>
          <a:schemeClr val="bg1">
            <a:lumMod val="85000"/>
          </a:schemeClr>
        </a:solidFill>
        <a:effectLst>
          <a:outerShdw blurRad="50800" dist="38100" dir="5400000" algn="t" rotWithShape="0">
            <a:prstClr val="black">
              <a:alpha val="40000"/>
            </a:prstClr>
          </a:outerShdw>
        </a:effectLst>
      </xdr:grpSpPr>
      <xdr:sp macro="" textlink="">
        <xdr:nvSpPr>
          <xdr:cNvPr id="130" name="Rectangle: Rounded Corners 129">
            <a:extLst>
              <a:ext uri="{FF2B5EF4-FFF2-40B4-BE49-F238E27FC236}">
                <a16:creationId xmlns:a16="http://schemas.microsoft.com/office/drawing/2014/main" id="{FA4C854B-AC85-42B8-96D6-4FF8DDEC5B43}"/>
              </a:ext>
            </a:extLst>
          </xdr:cNvPr>
          <xdr:cNvSpPr/>
        </xdr:nvSpPr>
        <xdr:spPr>
          <a:xfrm>
            <a:off x="1360409" y="2431797"/>
            <a:ext cx="1668785" cy="958661"/>
          </a:xfrm>
          <a:prstGeom prst="roundRect">
            <a:avLst>
              <a:gd name="adj" fmla="val 3953"/>
            </a:avLst>
          </a:prstGeom>
          <a:grp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ough!#REF!">
        <xdr:nvSpPr>
          <xdr:cNvPr id="131" name="TextBox 130">
            <a:extLst>
              <a:ext uri="{FF2B5EF4-FFF2-40B4-BE49-F238E27FC236}">
                <a16:creationId xmlns:a16="http://schemas.microsoft.com/office/drawing/2014/main" id="{24B199E8-6FC8-4AA3-9C1F-C08FA8DAABE5}"/>
              </a:ext>
            </a:extLst>
          </xdr:cNvPr>
          <xdr:cNvSpPr txBox="1"/>
        </xdr:nvSpPr>
        <xdr:spPr>
          <a:xfrm>
            <a:off x="1409700" y="2641600"/>
            <a:ext cx="1200150" cy="533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11ACD2-19CD-4186-BD3D-036BF9698D7A}" type="TxLink">
              <a:rPr lang="en-US" sz="18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 </a:t>
            </a:fld>
            <a:endParaRPr lang="en-US" sz="1800" b="1" i="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clientData/>
  </xdr:twoCellAnchor>
  <xdr:twoCellAnchor>
    <xdr:from>
      <xdr:col>16</xdr:col>
      <xdr:colOff>438148</xdr:colOff>
      <xdr:row>2</xdr:row>
      <xdr:rowOff>171449</xdr:rowOff>
    </xdr:from>
    <xdr:to>
      <xdr:col>29</xdr:col>
      <xdr:colOff>438150</xdr:colOff>
      <xdr:row>17</xdr:row>
      <xdr:rowOff>171450</xdr:rowOff>
    </xdr:to>
    <xdr:graphicFrame macro="">
      <xdr:nvGraphicFramePr>
        <xdr:cNvPr id="125" name="Chart 2">
          <a:extLst>
            <a:ext uri="{FF2B5EF4-FFF2-40B4-BE49-F238E27FC236}">
              <a16:creationId xmlns:a16="http://schemas.microsoft.com/office/drawing/2014/main" id="{0BBC0C0B-1BAA-46EC-81A0-FD8BD4ABA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863601</xdr:colOff>
      <xdr:row>15</xdr:row>
      <xdr:rowOff>183303</xdr:rowOff>
    </xdr:from>
    <xdr:to>
      <xdr:col>10</xdr:col>
      <xdr:colOff>966894</xdr:colOff>
      <xdr:row>20</xdr:row>
      <xdr:rowOff>43180</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67CC85CB-8A9A-4AF2-A125-A15E0AFE743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219268" y="3040803"/>
              <a:ext cx="992293"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257174</xdr:colOff>
      <xdr:row>6</xdr:row>
      <xdr:rowOff>140759</xdr:rowOff>
    </xdr:from>
    <xdr:to>
      <xdr:col>9</xdr:col>
      <xdr:colOff>614891</xdr:colOff>
      <xdr:row>13</xdr:row>
      <xdr:rowOff>63501</xdr:rowOff>
    </xdr:to>
    <mc:AlternateContent xmlns:mc="http://schemas.openxmlformats.org/markup-compatibility/2006" xmlns:a14="http://schemas.microsoft.com/office/drawing/2010/main">
      <mc:Choice Requires="a14">
        <xdr:graphicFrame macro="">
          <xdr:nvGraphicFramePr>
            <xdr:cNvPr id="3" name="Content Type">
              <a:extLst>
                <a:ext uri="{FF2B5EF4-FFF2-40B4-BE49-F238E27FC236}">
                  <a16:creationId xmlns:a16="http://schemas.microsoft.com/office/drawing/2014/main" id="{E55DFD42-7846-4AAB-97C9-7D1835201780}"/>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8776757" y="1283759"/>
              <a:ext cx="1839383" cy="1256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259289</xdr:colOff>
      <xdr:row>15</xdr:row>
      <xdr:rowOff>92073</xdr:rowOff>
    </xdr:from>
    <xdr:to>
      <xdr:col>13</xdr:col>
      <xdr:colOff>333372</xdr:colOff>
      <xdr:row>28</xdr:row>
      <xdr:rowOff>118531</xdr:rowOff>
    </xdr:to>
    <mc:AlternateContent xmlns:mc="http://schemas.openxmlformats.org/markup-compatibility/2006" xmlns:sle15="http://schemas.microsoft.com/office/drawing/2012/slicer">
      <mc:Choice Requires="sle15">
        <xdr:graphicFrame macro="">
          <xdr:nvGraphicFramePr>
            <xdr:cNvPr id="17" name="Week_Start_Date 1">
              <a:extLst>
                <a:ext uri="{FF2B5EF4-FFF2-40B4-BE49-F238E27FC236}">
                  <a16:creationId xmlns:a16="http://schemas.microsoft.com/office/drawing/2014/main" id="{36844D35-A2AB-4868-9799-9A27338C9ED0}"/>
                </a:ext>
              </a:extLst>
            </xdr:cNvPr>
            <xdr:cNvGraphicFramePr/>
          </xdr:nvGraphicFramePr>
          <xdr:xfrm>
            <a:off x="0" y="0"/>
            <a:ext cx="0" cy="0"/>
          </xdr:xfrm>
          <a:graphic>
            <a:graphicData uri="http://schemas.microsoft.com/office/drawing/2010/slicer">
              <sle:slicer xmlns:sle="http://schemas.microsoft.com/office/drawing/2010/slicer" name="Week_Start_Date 1"/>
            </a:graphicData>
          </a:graphic>
        </xdr:graphicFrame>
      </mc:Choice>
      <mc:Fallback xmlns="">
        <xdr:sp macro="" textlink="">
          <xdr:nvSpPr>
            <xdr:cNvPr id="0" name=""/>
            <xdr:cNvSpPr>
              <a:spLocks noTextEdit="1"/>
            </xdr:cNvSpPr>
          </xdr:nvSpPr>
          <xdr:spPr>
            <a:xfrm>
              <a:off x="13086289" y="2949573"/>
              <a:ext cx="17145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10</xdr:col>
      <xdr:colOff>1201208</xdr:colOff>
      <xdr:row>5</xdr:row>
      <xdr:rowOff>68793</xdr:rowOff>
    </xdr:from>
    <xdr:to>
      <xdr:col>13</xdr:col>
      <xdr:colOff>365124</xdr:colOff>
      <xdr:row>12</xdr:row>
      <xdr:rowOff>106893</xdr:rowOff>
    </xdr:to>
    <mc:AlternateContent xmlns:mc="http://schemas.openxmlformats.org/markup-compatibility/2006" xmlns:tsle="http://schemas.microsoft.com/office/drawing/2012/timeslicer">
      <mc:Choice Requires="tsle">
        <xdr:graphicFrame macro="">
          <xdr:nvGraphicFramePr>
            <xdr:cNvPr id="8" name="Week_Start_Date 3">
              <a:extLst>
                <a:ext uri="{FF2B5EF4-FFF2-40B4-BE49-F238E27FC236}">
                  <a16:creationId xmlns:a16="http://schemas.microsoft.com/office/drawing/2014/main" id="{DFA6C754-3901-4056-85E7-6DBE1E488C32}"/>
                </a:ext>
              </a:extLst>
            </xdr:cNvPr>
            <xdr:cNvGraphicFramePr/>
          </xdr:nvGraphicFramePr>
          <xdr:xfrm>
            <a:off x="0" y="0"/>
            <a:ext cx="0" cy="0"/>
          </xdr:xfrm>
          <a:graphic>
            <a:graphicData uri="http://schemas.microsoft.com/office/drawing/2012/timeslicer">
              <tsle:timeslicer name="Week_Start_Date 3"/>
            </a:graphicData>
          </a:graphic>
        </xdr:graphicFrame>
      </mc:Choice>
      <mc:Fallback xmlns="">
        <xdr:sp macro="" textlink="">
          <xdr:nvSpPr>
            <xdr:cNvPr id="0" name=""/>
            <xdr:cNvSpPr>
              <a:spLocks noTextEdit="1"/>
            </xdr:cNvSpPr>
          </xdr:nvSpPr>
          <xdr:spPr>
            <a:xfrm>
              <a:off x="11445875" y="1021293"/>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726017</xdr:colOff>
      <xdr:row>6</xdr:row>
      <xdr:rowOff>140759</xdr:rowOff>
    </xdr:from>
    <xdr:to>
      <xdr:col>8</xdr:col>
      <xdr:colOff>776817</xdr:colOff>
      <xdr:row>13</xdr:row>
      <xdr:rowOff>74084</xdr:rowOff>
    </xdr:to>
    <mc:AlternateContent xmlns:mc="http://schemas.openxmlformats.org/markup-compatibility/2006" xmlns:a14="http://schemas.microsoft.com/office/drawing/2010/main">
      <mc:Choice Requires="a14">
        <xdr:graphicFrame macro="">
          <xdr:nvGraphicFramePr>
            <xdr:cNvPr id="9" name="Platform 2">
              <a:extLst>
                <a:ext uri="{FF2B5EF4-FFF2-40B4-BE49-F238E27FC236}">
                  <a16:creationId xmlns:a16="http://schemas.microsoft.com/office/drawing/2014/main" id="{45C62736-4C87-4DD4-B55F-D1E8813DB35B}"/>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6874934" y="1283759"/>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28</xdr:row>
      <xdr:rowOff>0</xdr:rowOff>
    </xdr:from>
    <xdr:to>
      <xdr:col>12</xdr:col>
      <xdr:colOff>460375</xdr:colOff>
      <xdr:row>42</xdr:row>
      <xdr:rowOff>76200</xdr:rowOff>
    </xdr:to>
    <xdr:graphicFrame macro="">
      <xdr:nvGraphicFramePr>
        <xdr:cNvPr id="11" name="Chart 10">
          <a:extLst>
            <a:ext uri="{FF2B5EF4-FFF2-40B4-BE49-F238E27FC236}">
              <a16:creationId xmlns:a16="http://schemas.microsoft.com/office/drawing/2014/main" id="{A1A8E21F-224C-47E9-B51C-4CFAEDD44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603250</xdr:colOff>
      <xdr:row>28</xdr:row>
      <xdr:rowOff>74084</xdr:rowOff>
    </xdr:from>
    <xdr:to>
      <xdr:col>7</xdr:col>
      <xdr:colOff>807508</xdr:colOff>
      <xdr:row>41</xdr:row>
      <xdr:rowOff>21697</xdr:rowOff>
    </xdr:to>
    <xdr:graphicFrame macro="">
      <xdr:nvGraphicFramePr>
        <xdr:cNvPr id="13" name="Chart 12">
          <a:extLst>
            <a:ext uri="{FF2B5EF4-FFF2-40B4-BE49-F238E27FC236}">
              <a16:creationId xmlns:a16="http://schemas.microsoft.com/office/drawing/2014/main" id="{ACBBAF76-B5C2-4843-8667-52D50643B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571501</xdr:colOff>
      <xdr:row>44</xdr:row>
      <xdr:rowOff>179917</xdr:rowOff>
    </xdr:from>
    <xdr:to>
      <xdr:col>7</xdr:col>
      <xdr:colOff>108237</xdr:colOff>
      <xdr:row>59</xdr:row>
      <xdr:rowOff>66483</xdr:rowOff>
    </xdr:to>
    <xdr:graphicFrame macro="">
      <xdr:nvGraphicFramePr>
        <xdr:cNvPr id="12" name="Chart 11">
          <a:extLst>
            <a:ext uri="{FF2B5EF4-FFF2-40B4-BE49-F238E27FC236}">
              <a16:creationId xmlns:a16="http://schemas.microsoft.com/office/drawing/2014/main" id="{92B8A9F2-C122-4678-B36A-DD8BC3B98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137583</xdr:colOff>
      <xdr:row>42</xdr:row>
      <xdr:rowOff>179917</xdr:rowOff>
    </xdr:from>
    <xdr:to>
      <xdr:col>13</xdr:col>
      <xdr:colOff>1074208</xdr:colOff>
      <xdr:row>66</xdr:row>
      <xdr:rowOff>32281</xdr:rowOff>
    </xdr:to>
    <xdr:graphicFrame macro="">
      <xdr:nvGraphicFramePr>
        <xdr:cNvPr id="15" name="Chart 2">
          <a:extLst>
            <a:ext uri="{FF2B5EF4-FFF2-40B4-BE49-F238E27FC236}">
              <a16:creationId xmlns:a16="http://schemas.microsoft.com/office/drawing/2014/main" id="{614E359B-5E86-44CA-A3D8-A04A9F7D1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ingh" refreshedDate="45902.787316550923" createdVersion="7" refreshedVersion="7" minRefreshableVersion="3" recordCount="300" xr:uid="{26315CF3-0CE3-4636-A977-C28E7C19893A}">
  <cacheSource type="worksheet">
    <worksheetSource name="Table1__3"/>
  </cacheSource>
  <cacheFields count="20">
    <cacheField name="Post ID" numFmtId="0">
      <sharedItems/>
    </cacheField>
    <cacheField name="Platform" numFmtId="0">
      <sharedItems count="3">
        <s v="Instagram"/>
        <s v="Twitter"/>
        <s v="YouTube"/>
      </sharedItems>
    </cacheField>
    <cacheField name="Date" numFmtId="164">
      <sharedItems containsSemiMixedTypes="0" containsNonDate="0" containsDate="1" containsString="0" minDate="2024-01-01T00:00:00" maxDate="2025-07-02T00:00:00" count="235">
        <d v="2025-05-04T00:00:00"/>
        <d v="2025-02-01T00:00:00"/>
        <d v="2024-12-03T00:00:00"/>
        <d v="2024-04-06T00:00:00"/>
        <d v="2024-06-13T00:00:00"/>
        <d v="2024-12-19T00:00:00"/>
        <d v="2024-05-09T00:00:00"/>
        <d v="2025-06-15T00:00:00"/>
        <d v="2024-12-04T00:00:00"/>
        <d v="2024-03-06T00:00:00"/>
        <d v="2024-05-14T00:00:00"/>
        <d v="2025-06-18T00:00:00"/>
        <d v="2024-10-08T00:00:00"/>
        <d v="2024-05-06T00:00:00"/>
        <d v="2024-12-29T00:00:00"/>
        <d v="2024-06-10T00:00:00"/>
        <d v="2024-02-03T00:00:00"/>
        <d v="2024-06-15T00:00:00"/>
        <d v="2024-07-05T00:00:00"/>
        <d v="2024-11-07T00:00:00"/>
        <d v="2024-06-09T00:00:00"/>
        <d v="2024-10-18T00:00:00"/>
        <d v="2024-10-10T00:00:00"/>
        <d v="2025-05-14T00:00:00"/>
        <d v="2024-11-29T00:00:00"/>
        <d v="2024-03-05T00:00:00"/>
        <d v="2025-03-18T00:00:00"/>
        <d v="2025-04-26T00:00:00"/>
        <d v="2025-01-01T00:00:00"/>
        <d v="2024-05-07T00:00:00"/>
        <d v="2024-10-09T00:00:00"/>
        <d v="2025-01-09T00:00:00"/>
        <d v="2025-05-08T00:00:00"/>
        <d v="2024-05-04T00:00:00"/>
        <d v="2025-05-27T00:00:00"/>
        <d v="2024-09-10T00:00:00"/>
        <d v="2024-11-25T00:00:00"/>
        <d v="2025-06-10T00:00:00"/>
        <d v="2024-04-19T00:00:00"/>
        <d v="2025-01-26T00:00:00"/>
        <d v="2025-02-14T00:00:00"/>
        <d v="2024-09-06T00:00:00"/>
        <d v="2024-07-14T00:00:00"/>
        <d v="2024-02-12T00:00:00"/>
        <d v="2024-03-14T00:00:00"/>
        <d v="2025-02-05T00:00:00"/>
        <d v="2024-08-29T00:00:00"/>
        <d v="2025-04-22T00:00:00"/>
        <d v="2024-05-13T00:00:00"/>
        <d v="2024-09-04T00:00:00"/>
        <d v="2024-08-12T00:00:00"/>
        <d v="2025-03-06T00:00:00"/>
        <d v="2024-05-08T00:00:00"/>
        <d v="2025-02-19T00:00:00"/>
        <d v="2024-01-08T00:00:00"/>
        <d v="2024-07-17T00:00:00"/>
        <d v="2024-08-10T00:00:00"/>
        <d v="2024-04-16T00:00:00"/>
        <d v="2024-01-01T00:00:00"/>
        <d v="2024-11-03T00:00:00"/>
        <d v="2024-07-07T00:00:00"/>
        <d v="2025-01-22T00:00:00"/>
        <d v="2024-05-26T00:00:00"/>
        <d v="2025-04-16T00:00:00"/>
        <d v="2024-04-02T00:00:00"/>
        <d v="2024-03-28T00:00:00"/>
        <d v="2024-12-17T00:00:00"/>
        <d v="2025-01-05T00:00:00"/>
        <d v="2024-01-11T00:00:00"/>
        <d v="2024-10-11T00:00:00"/>
        <d v="2025-05-06T00:00:00"/>
        <d v="2024-05-19T00:00:00"/>
        <d v="2024-01-22T00:00:00"/>
        <d v="2025-05-28T00:00:00"/>
        <d v="2025-01-21T00:00:00"/>
        <d v="2024-01-13T00:00:00"/>
        <d v="2025-06-17T00:00:00"/>
        <d v="2025-03-07T00:00:00"/>
        <d v="2024-08-26T00:00:00"/>
        <d v="2025-01-03T00:00:00"/>
        <d v="2024-08-03T00:00:00"/>
        <d v="2024-08-18T00:00:00"/>
        <d v="2024-04-23T00:00:00"/>
        <d v="2025-02-17T00:00:00"/>
        <d v="2024-07-22T00:00:00"/>
        <d v="2025-04-27T00:00:00"/>
        <d v="2024-03-25T00:00:00"/>
        <d v="2024-02-29T00:00:00"/>
        <d v="2024-11-13T00:00:00"/>
        <d v="2024-03-22T00:00:00"/>
        <d v="2024-03-16T00:00:00"/>
        <d v="2024-01-26T00:00:00"/>
        <d v="2024-03-15T00:00:00"/>
        <d v="2024-10-15T00:00:00"/>
        <d v="2024-07-21T00:00:00"/>
        <d v="2024-10-12T00:00:00"/>
        <d v="2024-10-26T00:00:00"/>
        <d v="2024-02-14T00:00:00"/>
        <d v="2024-05-01T00:00:00"/>
        <d v="2024-09-18T00:00:00"/>
        <d v="2025-01-20T00:00:00"/>
        <d v="2025-01-13T00:00:00"/>
        <d v="2024-09-07T00:00:00"/>
        <d v="2024-11-21T00:00:00"/>
        <d v="2024-06-26T00:00:00"/>
        <d v="2024-07-20T00:00:00"/>
        <d v="2025-02-16T00:00:00"/>
        <d v="2024-09-09T00:00:00"/>
        <d v="2024-07-16T00:00:00"/>
        <d v="2025-04-15T00:00:00"/>
        <d v="2024-02-18T00:00:00"/>
        <d v="2024-05-16T00:00:00"/>
        <d v="2025-05-29T00:00:00"/>
        <d v="2025-01-17T00:00:00"/>
        <d v="2025-04-30T00:00:00"/>
        <d v="2024-02-24T00:00:00"/>
        <d v="2024-05-12T00:00:00"/>
        <d v="2024-11-06T00:00:00"/>
        <d v="2024-01-04T00:00:00"/>
        <d v="2024-01-28T00:00:00"/>
        <d v="2024-02-22T00:00:00"/>
        <d v="2025-07-01T00:00:00"/>
        <d v="2024-01-10T00:00:00"/>
        <d v="2025-03-20T00:00:00"/>
        <d v="2024-09-28T00:00:00"/>
        <d v="2024-01-27T00:00:00"/>
        <d v="2025-05-15T00:00:00"/>
        <d v="2024-10-04T00:00:00"/>
        <d v="2024-11-19T00:00:00"/>
        <d v="2024-04-05T00:00:00"/>
        <d v="2024-11-28T00:00:00"/>
        <d v="2025-03-09T00:00:00"/>
        <d v="2024-08-27T00:00:00"/>
        <d v="2024-10-01T00:00:00"/>
        <d v="2024-12-21T00:00:00"/>
        <d v="2024-06-17T00:00:00"/>
        <d v="2025-05-22T00:00:00"/>
        <d v="2024-01-21T00:00:00"/>
        <d v="2025-02-08T00:00:00"/>
        <d v="2025-04-13T00:00:00"/>
        <d v="2024-05-30T00:00:00"/>
        <d v="2024-09-27T00:00:00"/>
        <d v="2025-06-11T00:00:00"/>
        <d v="2024-04-25T00:00:00"/>
        <d v="2024-09-03T00:00:00"/>
        <d v="2025-03-02T00:00:00"/>
        <d v="2025-03-21T00:00:00"/>
        <d v="2024-04-12T00:00:00"/>
        <d v="2024-02-08T00:00:00"/>
        <d v="2025-05-26T00:00:00"/>
        <d v="2024-11-14T00:00:00"/>
        <d v="2024-08-09T00:00:00"/>
        <d v="2025-06-27T00:00:00"/>
        <d v="2025-01-27T00:00:00"/>
        <d v="2024-04-03T00:00:00"/>
        <d v="2024-11-23T00:00:00"/>
        <d v="2024-09-01T00:00:00"/>
        <d v="2024-04-18T00:00:00"/>
        <d v="2024-06-04T00:00:00"/>
        <d v="2025-04-02T00:00:00"/>
        <d v="2025-04-01T00:00:00"/>
        <d v="2024-07-02T00:00:00"/>
        <d v="2024-11-10T00:00:00"/>
        <d v="2024-12-14T00:00:00"/>
        <d v="2024-03-19T00:00:00"/>
        <d v="2024-07-23T00:00:00"/>
        <d v="2024-07-13T00:00:00"/>
        <d v="2024-06-16T00:00:00"/>
        <d v="2025-05-18T00:00:00"/>
        <d v="2025-06-06T00:00:00"/>
        <d v="2025-02-20T00:00:00"/>
        <d v="2025-01-16T00:00:00"/>
        <d v="2024-09-16T00:00:00"/>
        <d v="2024-05-10T00:00:00"/>
        <d v="2024-01-14T00:00:00"/>
        <d v="2025-01-12T00:00:00"/>
        <d v="2024-12-08T00:00:00"/>
        <d v="2024-07-11T00:00:00"/>
        <d v="2024-03-18T00:00:00"/>
        <d v="2024-09-12T00:00:00"/>
        <d v="2024-10-06T00:00:00"/>
        <d v="2024-12-30T00:00:00"/>
        <d v="2024-08-21T00:00:00"/>
        <d v="2025-04-07T00:00:00"/>
        <d v="2024-07-19T00:00:00"/>
        <d v="2025-05-03T00:00:00"/>
        <d v="2024-04-14T00:00:00"/>
        <d v="2025-06-19T00:00:00"/>
        <d v="2025-06-24T00:00:00"/>
        <d v="2025-01-15T00:00:00"/>
        <d v="2025-05-31T00:00:00"/>
        <d v="2024-10-14T00:00:00"/>
        <d v="2024-02-10T00:00:00"/>
        <d v="2024-12-10T00:00:00"/>
        <d v="2025-05-09T00:00:00"/>
        <d v="2025-06-21T00:00:00"/>
        <d v="2024-06-19T00:00:00"/>
        <d v="2024-02-01T00:00:00"/>
        <d v="2024-01-17T00:00:00"/>
        <d v="2025-03-22T00:00:00"/>
        <d v="2024-10-20T00:00:00"/>
        <d v="2024-02-02T00:00:00"/>
        <d v="2024-12-20T00:00:00"/>
        <d v="2024-12-13T00:00:00"/>
        <d v="2024-09-15T00:00:00"/>
        <d v="2025-04-12T00:00:00"/>
        <d v="2025-06-08T00:00:00"/>
        <d v="2024-07-08T00:00:00"/>
        <d v="2024-06-14T00:00:00"/>
        <d v="2024-08-08T00:00:00"/>
        <d v="2025-02-03T00:00:00"/>
        <d v="2024-06-08T00:00:00"/>
        <d v="2025-01-19T00:00:00"/>
        <d v="2024-11-16T00:00:00"/>
        <d v="2024-11-30T00:00:00"/>
        <d v="2024-03-27T00:00:00"/>
        <d v="2024-11-08T00:00:00"/>
        <d v="2024-03-17T00:00:00"/>
        <d v="2024-06-21T00:00:00"/>
        <d v="2024-02-19T00:00:00"/>
        <d v="2025-03-04T00:00:00"/>
        <d v="2024-12-02T00:00:00"/>
        <d v="2024-01-07T00:00:00"/>
        <d v="2024-02-21T00:00:00"/>
        <d v="2024-10-24T00:00:00"/>
        <d v="2025-01-29T00:00:00"/>
        <d v="2024-06-25T00:00:00"/>
        <d v="2024-08-13T00:00:00"/>
        <d v="2024-06-29T00:00:00"/>
        <d v="2025-04-18T00:00:00"/>
        <d v="2024-12-27T00:00:00"/>
        <d v="2025-03-08T00:00:00"/>
        <d v="2025-06-30T00:00:00"/>
        <d v="2024-01-12T00:00:00"/>
        <d v="2024-02-07T00:00:00"/>
      </sharedItems>
      <fieldGroup par="19" base="2">
        <rangePr groupBy="months" startDate="2024-01-01T00:00:00" endDate="2025-07-02T00:00:00"/>
        <groupItems count="14">
          <s v="&lt;1/1/2024"/>
          <s v="Jan"/>
          <s v="Feb"/>
          <s v="Mar"/>
          <s v="Apr"/>
          <s v="May"/>
          <s v="Jun"/>
          <s v="Jul"/>
          <s v="Aug"/>
          <s v="Sep"/>
          <s v="Oct"/>
          <s v="Nov"/>
          <s v="Dec"/>
          <s v="&gt;7/2/2025"/>
        </groupItems>
      </fieldGroup>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1" numFmtId="0">
      <sharedItems count="4">
        <s v="#SoundtrackOfLife"/>
        <s v="#DiscoverWeekly"/>
        <s v="#MusicForEveryone"/>
        <s v="#NowPlaying"/>
      </sharedItems>
    </cacheField>
    <cacheField name="Hashtags Used.2" numFmtId="0">
      <sharedItems containsBlank="1" count="5">
        <s v="#NowPlaying"/>
        <m/>
        <s v="#SpotifyWrapped"/>
        <s v="#MusicForEveryone"/>
        <s v="#SoundtrackOfLife"/>
      </sharedItems>
    </cacheField>
    <cacheField name="Campaign_Name" numFmtId="0">
      <sharedItems count="4">
        <s v="ChillVibes"/>
        <s v="IndieWave"/>
        <s v="Wrapped2024"/>
        <s v="SummerBeats"/>
      </sharedItems>
    </cacheField>
    <cacheField name="ENGAGEMENT RATE" numFmtId="10">
      <sharedItems containsSemiMixedTypes="0" containsString="0" containsNumber="1" minValue="2.50275284149232E-2" maxValue="0.26064752360763155"/>
    </cacheField>
    <cacheField name="Start_Date" numFmtId="164">
      <sharedItems containsSemiMixedTypes="0" containsNonDate="0" containsDate="1" containsString="0" minDate="2024-06-15T00:00:00" maxDate="2025-03-02T00:00:00"/>
    </cacheField>
    <cacheField name="End_Date" numFmtId="164">
      <sharedItems containsSemiMixedTypes="0" containsNonDate="0" containsDate="1" containsString="0" minDate="2024-07-15T00:00:00" maxDate="2025-04-01T00:00:00"/>
    </cacheField>
    <cacheField name="status of cmpign" numFmtId="0">
      <sharedItems count="3">
        <s v="After"/>
        <s v="Before"/>
        <s v="During"/>
      </sharedItems>
    </cacheField>
    <cacheField name="Quarters" numFmtId="0" databaseField="0">
      <fieldGroup base="2">
        <rangePr groupBy="quarters" startDate="2024-01-01T00:00:00" endDate="2025-07-02T00:00:00"/>
        <groupItems count="6">
          <s v="&lt;1/1/2024"/>
          <s v="Qtr1"/>
          <s v="Qtr2"/>
          <s v="Qtr3"/>
          <s v="Qtr4"/>
          <s v="&gt;7/2/2025"/>
        </groupItems>
      </fieldGroup>
    </cacheField>
    <cacheField name="Years" numFmtId="0" databaseField="0">
      <fieldGroup base="2">
        <rangePr groupBy="years" startDate="2024-01-01T00:00:00" endDate="2025-07-02T00:00:00"/>
        <groupItems count="4">
          <s v="&lt;1/1/2024"/>
          <s v="2024"/>
          <s v="2025"/>
          <s v="&gt;7/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ingh" refreshedDate="45904.843825810189" createdVersion="7" refreshedVersion="7" minRefreshableVersion="3" recordCount="300" xr:uid="{46912B0F-1D25-49C5-B2A0-7E5FB3DE190A}">
  <cacheSource type="worksheet">
    <worksheetSource name="Table1__4"/>
  </cacheSource>
  <cacheFields count="18">
    <cacheField name="Post ID" numFmtId="0">
      <sharedItems count="300">
        <s v="SP001"/>
        <s v="SP002"/>
        <s v="SP003"/>
        <s v="SP004"/>
        <s v="SP005"/>
        <s v="SP006"/>
        <s v="SP007"/>
        <s v="SP008"/>
        <s v="SP009"/>
        <s v="SP010"/>
        <s v="SP011"/>
        <s v="SP012"/>
        <s v="SP013"/>
        <s v="SP014"/>
        <s v="SP015"/>
        <s v="SP016"/>
        <s v="SP017"/>
        <s v="SP018"/>
        <s v="SP019"/>
        <s v="SP020"/>
        <s v="SP021"/>
        <s v="SP022"/>
        <s v="SP023"/>
        <s v="SP024"/>
        <s v="SP025"/>
        <s v="SP026"/>
        <s v="SP027"/>
        <s v="SP028"/>
        <s v="SP029"/>
        <s v="SP030"/>
        <s v="SP031"/>
        <s v="SP032"/>
        <s v="SP033"/>
        <s v="SP034"/>
        <s v="SP035"/>
        <s v="SP036"/>
        <s v="SP037"/>
        <s v="SP038"/>
        <s v="SP039"/>
        <s v="SP040"/>
        <s v="SP041"/>
        <s v="SP042"/>
        <s v="SP043"/>
        <s v="SP044"/>
        <s v="SP045"/>
        <s v="SP046"/>
        <s v="SP047"/>
        <s v="SP048"/>
        <s v="SP049"/>
        <s v="SP050"/>
        <s v="SP051"/>
        <s v="SP052"/>
        <s v="SP053"/>
        <s v="SP054"/>
        <s v="SP055"/>
        <s v="SP056"/>
        <s v="SP057"/>
        <s v="SP058"/>
        <s v="SP059"/>
        <s v="SP060"/>
        <s v="SP061"/>
        <s v="SP062"/>
        <s v="SP063"/>
        <s v="SP064"/>
        <s v="SP065"/>
        <s v="SP066"/>
        <s v="SP067"/>
        <s v="SP068"/>
        <s v="SP069"/>
        <s v="SP070"/>
        <s v="SP071"/>
        <s v="SP072"/>
        <s v="SP073"/>
        <s v="SP074"/>
        <s v="SP075"/>
        <s v="SP076"/>
        <s v="SP077"/>
        <s v="SP078"/>
        <s v="SP079"/>
        <s v="SP080"/>
        <s v="SP081"/>
        <s v="SP082"/>
        <s v="SP083"/>
        <s v="SP084"/>
        <s v="SP085"/>
        <s v="SP086"/>
        <s v="SP087"/>
        <s v="SP088"/>
        <s v="SP089"/>
        <s v="SP090"/>
        <s v="SP091"/>
        <s v="SP092"/>
        <s v="SP093"/>
        <s v="SP094"/>
        <s v="SP095"/>
        <s v="SP096"/>
        <s v="SP097"/>
        <s v="SP098"/>
        <s v="SP099"/>
        <s v="SP100"/>
        <s v="SP101"/>
        <s v="SP102"/>
        <s v="SP103"/>
        <s v="SP104"/>
        <s v="SP105"/>
        <s v="SP106"/>
        <s v="SP107"/>
        <s v="SP108"/>
        <s v="SP109"/>
        <s v="SP110"/>
        <s v="SP111"/>
        <s v="SP112"/>
        <s v="SP113"/>
        <s v="SP114"/>
        <s v="SP115"/>
        <s v="SP116"/>
        <s v="SP117"/>
        <s v="SP118"/>
        <s v="SP119"/>
        <s v="SP120"/>
        <s v="SP121"/>
        <s v="SP122"/>
        <s v="SP123"/>
        <s v="SP124"/>
        <s v="SP125"/>
        <s v="SP126"/>
        <s v="SP127"/>
        <s v="SP128"/>
        <s v="SP129"/>
        <s v="SP130"/>
        <s v="SP131"/>
        <s v="SP132"/>
        <s v="SP133"/>
        <s v="SP134"/>
        <s v="SP135"/>
        <s v="SP136"/>
        <s v="SP137"/>
        <s v="SP138"/>
        <s v="SP139"/>
        <s v="SP140"/>
        <s v="SP141"/>
        <s v="SP142"/>
        <s v="SP143"/>
        <s v="SP144"/>
        <s v="SP145"/>
        <s v="SP146"/>
        <s v="SP147"/>
        <s v="SP148"/>
        <s v="SP149"/>
        <s v="SP150"/>
        <s v="SP151"/>
        <s v="SP152"/>
        <s v="SP153"/>
        <s v="SP154"/>
        <s v="SP155"/>
        <s v="SP156"/>
        <s v="SP157"/>
        <s v="SP158"/>
        <s v="SP159"/>
        <s v="SP160"/>
        <s v="SP161"/>
        <s v="SP162"/>
        <s v="SP163"/>
        <s v="SP164"/>
        <s v="SP165"/>
        <s v="SP166"/>
        <s v="SP167"/>
        <s v="SP168"/>
        <s v="SP169"/>
        <s v="SP170"/>
        <s v="SP171"/>
        <s v="SP172"/>
        <s v="SP173"/>
        <s v="SP174"/>
        <s v="SP175"/>
        <s v="SP176"/>
        <s v="SP177"/>
        <s v="SP178"/>
        <s v="SP179"/>
        <s v="SP180"/>
        <s v="SP181"/>
        <s v="SP182"/>
        <s v="SP183"/>
        <s v="SP184"/>
        <s v="SP185"/>
        <s v="SP186"/>
        <s v="SP187"/>
        <s v="SP188"/>
        <s v="SP189"/>
        <s v="SP190"/>
        <s v="SP191"/>
        <s v="SP192"/>
        <s v="SP193"/>
        <s v="SP194"/>
        <s v="SP195"/>
        <s v="SP196"/>
        <s v="SP197"/>
        <s v="SP198"/>
        <s v="SP199"/>
        <s v="SP200"/>
        <s v="SP201"/>
        <s v="SP202"/>
        <s v="SP203"/>
        <s v="SP204"/>
        <s v="SP205"/>
        <s v="SP206"/>
        <s v="SP207"/>
        <s v="SP208"/>
        <s v="SP209"/>
        <s v="SP210"/>
        <s v="SP211"/>
        <s v="SP212"/>
        <s v="SP213"/>
        <s v="SP214"/>
        <s v="SP215"/>
        <s v="SP216"/>
        <s v="SP217"/>
        <s v="SP218"/>
        <s v="SP219"/>
        <s v="SP220"/>
        <s v="SP221"/>
        <s v="SP222"/>
        <s v="SP223"/>
        <s v="SP224"/>
        <s v="SP225"/>
        <s v="SP226"/>
        <s v="SP227"/>
        <s v="SP228"/>
        <s v="SP229"/>
        <s v="SP230"/>
        <s v="SP231"/>
        <s v="SP232"/>
        <s v="SP233"/>
        <s v="SP234"/>
        <s v="SP235"/>
        <s v="SP236"/>
        <s v="SP237"/>
        <s v="SP238"/>
        <s v="SP239"/>
        <s v="SP240"/>
        <s v="SP241"/>
        <s v="SP242"/>
        <s v="SP243"/>
        <s v="SP244"/>
        <s v="SP245"/>
        <s v="SP246"/>
        <s v="SP247"/>
        <s v="SP248"/>
        <s v="SP249"/>
        <s v="SP250"/>
        <s v="SP251"/>
        <s v="SP252"/>
        <s v="SP253"/>
        <s v="SP254"/>
        <s v="SP255"/>
        <s v="SP256"/>
        <s v="SP257"/>
        <s v="SP258"/>
        <s v="SP259"/>
        <s v="SP260"/>
        <s v="SP261"/>
        <s v="SP262"/>
        <s v="SP263"/>
        <s v="SP264"/>
        <s v="SP265"/>
        <s v="SP266"/>
        <s v="SP267"/>
        <s v="SP268"/>
        <s v="SP269"/>
        <s v="SP270"/>
        <s v="SP271"/>
        <s v="SP272"/>
        <s v="SP273"/>
        <s v="SP274"/>
        <s v="SP275"/>
        <s v="SP276"/>
        <s v="SP277"/>
        <s v="SP278"/>
        <s v="SP279"/>
        <s v="SP280"/>
        <s v="SP281"/>
        <s v="SP282"/>
        <s v="SP283"/>
        <s v="SP284"/>
        <s v="SP285"/>
        <s v="SP286"/>
        <s v="SP287"/>
        <s v="SP288"/>
        <s v="SP289"/>
        <s v="SP290"/>
        <s v="SP291"/>
        <s v="SP292"/>
        <s v="SP293"/>
        <s v="SP294"/>
        <s v="SP295"/>
        <s v="SP296"/>
        <s v="SP297"/>
        <s v="SP298"/>
        <s v="SP299"/>
        <s v="SP300"/>
      </sharedItems>
    </cacheField>
    <cacheField name="Platform" numFmtId="0">
      <sharedItems count="3">
        <s v="Instagram"/>
        <s v="Twitter"/>
        <s v="YouTube"/>
      </sharedItems>
    </cacheField>
    <cacheField name="Column1" numFmtId="14">
      <sharedItems containsSemiMixedTypes="0" containsNonDate="0" containsDate="1" containsString="0" minDate="2024-01-01T00:00:00" maxDate="2025-07-02T00:00:00" count="235">
        <d v="2025-05-04T00:00:00"/>
        <d v="2025-02-01T00:00:00"/>
        <d v="2024-12-03T00:00:00"/>
        <d v="2024-04-06T00:00:00"/>
        <d v="2024-06-13T00:00:00"/>
        <d v="2024-12-19T00:00:00"/>
        <d v="2024-05-09T00:00:00"/>
        <d v="2025-06-15T00:00:00"/>
        <d v="2024-12-04T00:00:00"/>
        <d v="2024-03-06T00:00:00"/>
        <d v="2024-05-14T00:00:00"/>
        <d v="2025-06-18T00:00:00"/>
        <d v="2024-10-08T00:00:00"/>
        <d v="2024-05-06T00:00:00"/>
        <d v="2024-12-29T00:00:00"/>
        <d v="2024-06-10T00:00:00"/>
        <d v="2024-02-03T00:00:00"/>
        <d v="2024-06-15T00:00:00"/>
        <d v="2024-07-05T00:00:00"/>
        <d v="2024-11-07T00:00:00"/>
        <d v="2024-06-09T00:00:00"/>
        <d v="2024-10-18T00:00:00"/>
        <d v="2024-10-10T00:00:00"/>
        <d v="2025-05-14T00:00:00"/>
        <d v="2024-11-29T00:00:00"/>
        <d v="2024-03-05T00:00:00"/>
        <d v="2025-03-18T00:00:00"/>
        <d v="2025-04-26T00:00:00"/>
        <d v="2025-01-01T00:00:00"/>
        <d v="2024-05-07T00:00:00"/>
        <d v="2024-10-09T00:00:00"/>
        <d v="2025-01-09T00:00:00"/>
        <d v="2025-05-08T00:00:00"/>
        <d v="2024-05-04T00:00:00"/>
        <d v="2025-05-27T00:00:00"/>
        <d v="2024-09-10T00:00:00"/>
        <d v="2024-11-25T00:00:00"/>
        <d v="2025-06-10T00:00:00"/>
        <d v="2024-04-19T00:00:00"/>
        <d v="2025-01-26T00:00:00"/>
        <d v="2025-02-14T00:00:00"/>
        <d v="2024-09-06T00:00:00"/>
        <d v="2024-07-14T00:00:00"/>
        <d v="2024-02-12T00:00:00"/>
        <d v="2024-03-14T00:00:00"/>
        <d v="2025-02-05T00:00:00"/>
        <d v="2024-08-29T00:00:00"/>
        <d v="2025-04-22T00:00:00"/>
        <d v="2024-05-13T00:00:00"/>
        <d v="2024-09-04T00:00:00"/>
        <d v="2024-08-12T00:00:00"/>
        <d v="2025-03-06T00:00:00"/>
        <d v="2024-05-08T00:00:00"/>
        <d v="2025-02-19T00:00:00"/>
        <d v="2024-01-08T00:00:00"/>
        <d v="2024-07-17T00:00:00"/>
        <d v="2024-08-10T00:00:00"/>
        <d v="2024-04-16T00:00:00"/>
        <d v="2024-01-01T00:00:00"/>
        <d v="2024-11-03T00:00:00"/>
        <d v="2024-07-07T00:00:00"/>
        <d v="2025-01-22T00:00:00"/>
        <d v="2024-05-26T00:00:00"/>
        <d v="2025-04-16T00:00:00"/>
        <d v="2024-04-02T00:00:00"/>
        <d v="2024-03-28T00:00:00"/>
        <d v="2024-12-17T00:00:00"/>
        <d v="2025-01-05T00:00:00"/>
        <d v="2024-01-11T00:00:00"/>
        <d v="2024-10-11T00:00:00"/>
        <d v="2025-05-06T00:00:00"/>
        <d v="2024-05-19T00:00:00"/>
        <d v="2024-01-22T00:00:00"/>
        <d v="2025-05-28T00:00:00"/>
        <d v="2025-01-21T00:00:00"/>
        <d v="2024-01-13T00:00:00"/>
        <d v="2025-06-17T00:00:00"/>
        <d v="2025-03-07T00:00:00"/>
        <d v="2024-08-26T00:00:00"/>
        <d v="2025-01-03T00:00:00"/>
        <d v="2024-08-03T00:00:00"/>
        <d v="2024-08-18T00:00:00"/>
        <d v="2024-04-23T00:00:00"/>
        <d v="2025-02-17T00:00:00"/>
        <d v="2024-07-22T00:00:00"/>
        <d v="2025-04-27T00:00:00"/>
        <d v="2024-03-25T00:00:00"/>
        <d v="2024-02-29T00:00:00"/>
        <d v="2024-11-13T00:00:00"/>
        <d v="2024-03-22T00:00:00"/>
        <d v="2024-03-16T00:00:00"/>
        <d v="2024-01-26T00:00:00"/>
        <d v="2024-03-15T00:00:00"/>
        <d v="2024-10-15T00:00:00"/>
        <d v="2024-07-21T00:00:00"/>
        <d v="2024-10-12T00:00:00"/>
        <d v="2024-10-26T00:00:00"/>
        <d v="2024-02-14T00:00:00"/>
        <d v="2024-05-01T00:00:00"/>
        <d v="2024-09-18T00:00:00"/>
        <d v="2025-01-20T00:00:00"/>
        <d v="2025-01-13T00:00:00"/>
        <d v="2024-09-07T00:00:00"/>
        <d v="2024-11-21T00:00:00"/>
        <d v="2024-06-26T00:00:00"/>
        <d v="2024-07-20T00:00:00"/>
        <d v="2025-02-16T00:00:00"/>
        <d v="2024-09-09T00:00:00"/>
        <d v="2024-07-16T00:00:00"/>
        <d v="2025-04-15T00:00:00"/>
        <d v="2024-02-18T00:00:00"/>
        <d v="2024-05-16T00:00:00"/>
        <d v="2025-05-29T00:00:00"/>
        <d v="2025-01-17T00:00:00"/>
        <d v="2025-04-30T00:00:00"/>
        <d v="2024-02-24T00:00:00"/>
        <d v="2024-05-12T00:00:00"/>
        <d v="2024-11-06T00:00:00"/>
        <d v="2024-01-04T00:00:00"/>
        <d v="2024-01-28T00:00:00"/>
        <d v="2024-02-22T00:00:00"/>
        <d v="2025-07-01T00:00:00"/>
        <d v="2024-01-10T00:00:00"/>
        <d v="2025-03-20T00:00:00"/>
        <d v="2024-09-28T00:00:00"/>
        <d v="2024-01-27T00:00:00"/>
        <d v="2025-05-15T00:00:00"/>
        <d v="2024-10-04T00:00:00"/>
        <d v="2024-11-19T00:00:00"/>
        <d v="2024-04-05T00:00:00"/>
        <d v="2024-11-28T00:00:00"/>
        <d v="2025-03-09T00:00:00"/>
        <d v="2024-08-27T00:00:00"/>
        <d v="2024-10-01T00:00:00"/>
        <d v="2024-12-21T00:00:00"/>
        <d v="2024-06-17T00:00:00"/>
        <d v="2025-05-22T00:00:00"/>
        <d v="2024-01-21T00:00:00"/>
        <d v="2025-02-08T00:00:00"/>
        <d v="2025-04-13T00:00:00"/>
        <d v="2024-05-30T00:00:00"/>
        <d v="2024-09-27T00:00:00"/>
        <d v="2025-06-11T00:00:00"/>
        <d v="2024-04-25T00:00:00"/>
        <d v="2024-09-03T00:00:00"/>
        <d v="2025-03-02T00:00:00"/>
        <d v="2025-03-21T00:00:00"/>
        <d v="2024-04-12T00:00:00"/>
        <d v="2024-02-08T00:00:00"/>
        <d v="2025-05-26T00:00:00"/>
        <d v="2024-11-14T00:00:00"/>
        <d v="2024-08-09T00:00:00"/>
        <d v="2025-06-27T00:00:00"/>
        <d v="2025-01-27T00:00:00"/>
        <d v="2024-04-03T00:00:00"/>
        <d v="2024-11-23T00:00:00"/>
        <d v="2024-09-01T00:00:00"/>
        <d v="2024-04-18T00:00:00"/>
        <d v="2024-06-04T00:00:00"/>
        <d v="2025-04-02T00:00:00"/>
        <d v="2025-04-01T00:00:00"/>
        <d v="2024-07-02T00:00:00"/>
        <d v="2024-11-10T00:00:00"/>
        <d v="2024-12-14T00:00:00"/>
        <d v="2024-03-19T00:00:00"/>
        <d v="2024-07-23T00:00:00"/>
        <d v="2024-07-13T00:00:00"/>
        <d v="2024-06-16T00:00:00"/>
        <d v="2025-05-18T00:00:00"/>
        <d v="2025-06-06T00:00:00"/>
        <d v="2025-02-20T00:00:00"/>
        <d v="2025-01-16T00:00:00"/>
        <d v="2024-09-16T00:00:00"/>
        <d v="2024-05-10T00:00:00"/>
        <d v="2024-01-14T00:00:00"/>
        <d v="2025-01-12T00:00:00"/>
        <d v="2024-12-08T00:00:00"/>
        <d v="2024-07-11T00:00:00"/>
        <d v="2024-03-18T00:00:00"/>
        <d v="2024-09-12T00:00:00"/>
        <d v="2024-10-06T00:00:00"/>
        <d v="2024-12-30T00:00:00"/>
        <d v="2024-08-21T00:00:00"/>
        <d v="2025-04-07T00:00:00"/>
        <d v="2024-07-19T00:00:00"/>
        <d v="2025-05-03T00:00:00"/>
        <d v="2024-04-14T00:00:00"/>
        <d v="2025-06-19T00:00:00"/>
        <d v="2025-06-24T00:00:00"/>
        <d v="2025-01-15T00:00:00"/>
        <d v="2025-05-31T00:00:00"/>
        <d v="2024-10-14T00:00:00"/>
        <d v="2024-02-10T00:00:00"/>
        <d v="2024-12-10T00:00:00"/>
        <d v="2025-05-09T00:00:00"/>
        <d v="2025-06-21T00:00:00"/>
        <d v="2024-06-19T00:00:00"/>
        <d v="2024-02-01T00:00:00"/>
        <d v="2024-01-17T00:00:00"/>
        <d v="2025-03-22T00:00:00"/>
        <d v="2024-10-20T00:00:00"/>
        <d v="2024-02-02T00:00:00"/>
        <d v="2024-12-20T00:00:00"/>
        <d v="2024-12-13T00:00:00"/>
        <d v="2024-09-15T00:00:00"/>
        <d v="2025-04-12T00:00:00"/>
        <d v="2025-06-08T00:00:00"/>
        <d v="2024-07-08T00:00:00"/>
        <d v="2024-06-14T00:00:00"/>
        <d v="2024-08-08T00:00:00"/>
        <d v="2025-02-03T00:00:00"/>
        <d v="2024-06-08T00:00:00"/>
        <d v="2025-01-19T00:00:00"/>
        <d v="2024-11-16T00:00:00"/>
        <d v="2024-11-30T00:00:00"/>
        <d v="2024-03-27T00:00:00"/>
        <d v="2024-11-08T00:00:00"/>
        <d v="2024-03-17T00:00:00"/>
        <d v="2024-06-21T00:00:00"/>
        <d v="2024-02-19T00:00:00"/>
        <d v="2025-03-04T00:00:00"/>
        <d v="2024-12-02T00:00:00"/>
        <d v="2024-01-07T00:00:00"/>
        <d v="2024-02-21T00:00:00"/>
        <d v="2024-10-24T00:00:00"/>
        <d v="2025-01-29T00:00:00"/>
        <d v="2024-06-25T00:00:00"/>
        <d v="2024-08-13T00:00:00"/>
        <d v="2024-06-29T00:00:00"/>
        <d v="2025-04-18T00:00:00"/>
        <d v="2024-12-27T00:00:00"/>
        <d v="2025-03-08T00:00:00"/>
        <d v="2025-06-30T00:00:00"/>
        <d v="2024-01-12T00:00:00"/>
        <d v="2024-02-07T00:00:00"/>
      </sharedItems>
      <fieldGroup par="17" base="2">
        <rangePr groupBy="months" startDate="2024-01-01T00:00:00" endDate="2025-07-02T00:00:00"/>
        <groupItems count="14">
          <s v="&lt;1/1/2024"/>
          <s v="Jan"/>
          <s v="Feb"/>
          <s v="Mar"/>
          <s v="Apr"/>
          <s v="May"/>
          <s v="Jun"/>
          <s v="Jul"/>
          <s v="Aug"/>
          <s v="Sep"/>
          <s v="Oct"/>
          <s v="Nov"/>
          <s v="Dec"/>
          <s v="&gt;7/2/2025"/>
        </groupItems>
      </fieldGroup>
    </cacheField>
    <cacheField name="Content Type" numFmtId="0">
      <sharedItems count="3">
        <s v="Text"/>
        <s v="Story"/>
        <s v="Reel"/>
      </sharedItems>
    </cacheField>
    <cacheField name="Post Text" numFmtId="0">
      <sharedItems/>
    </cacheField>
    <cacheField name="Likess" numFmtId="2">
      <sharedItems containsSemiMixedTypes="0" containsString="0" containsNumber="1" containsInteger="1" minValue="1010" maxValue="4995"/>
    </cacheField>
    <cacheField name="Sharess" numFmtId="2">
      <sharedItems containsSemiMixedTypes="0" containsString="0" containsNumber="1" containsInteger="1" minValue="100" maxValue="499"/>
    </cacheField>
    <cacheField name="Commentss" numFmtId="2">
      <sharedItems containsSemiMixedTypes="0" containsString="0" containsNumber="1" containsInteger="1" minValue="51" maxValue="400"/>
    </cacheField>
    <cacheField name="Impressions" numFmtId="2">
      <sharedItems containsSemiMixedTypes="0" containsString="0" containsNumber="1" containsInteger="1" minValue="20368" maxValue="59888"/>
    </cacheField>
    <cacheField name="Reach" numFmtId="2">
      <sharedItems containsSemiMixedTypes="0" containsString="0" containsNumber="1" containsInteger="1" minValue="18091" maxValue="74761"/>
    </cacheField>
    <cacheField name="Clicks" numFmtId="2">
      <sharedItems containsSemiMixedTypes="0" containsString="0" containsNumber="1" containsInteger="1" minValue="80" maxValue="299"/>
    </cacheField>
    <cacheField name="Hashtags Used.1" numFmtId="0">
      <sharedItems count="4">
        <s v="#SoundtrackOfLife"/>
        <s v="#DiscoverWeekly"/>
        <s v="#MusicForEveryone"/>
        <s v="#NowPlaying"/>
      </sharedItems>
    </cacheField>
    <cacheField name="Hashtags Used.2" numFmtId="0">
      <sharedItems containsBlank="1" count="5">
        <s v="#NowPlaying"/>
        <m/>
        <s v="#SpotifyWrapped"/>
        <s v="#MusicForEveryone"/>
        <s v="#SoundtrackOfLife"/>
      </sharedItems>
    </cacheField>
    <cacheField name="Campaign_Name" numFmtId="0">
      <sharedItems count="4">
        <s v="ChillVibes"/>
        <s v="IndieWave"/>
        <s v="Wrapped2024"/>
        <s v="SummerBeats"/>
      </sharedItems>
    </cacheField>
    <cacheField name="Engagement Rate:" numFmtId="0">
      <sharedItems containsSemiMixedTypes="0" containsString="0" containsNumber="1" minValue="2.50275284149232E-2" maxValue="0.26064752360763155"/>
    </cacheField>
    <cacheField name="Engagement Rate " numFmtId="0" formula="(#NAME?+#NAME?+#NAME?)/Impressions" databaseField="0"/>
    <cacheField name="Quarters" numFmtId="0" databaseField="0">
      <fieldGroup base="2">
        <rangePr groupBy="quarters" startDate="2024-01-01T00:00:00" endDate="2025-07-02T00:00:00"/>
        <groupItems count="6">
          <s v="&lt;1/1/2024"/>
          <s v="Qtr1"/>
          <s v="Qtr2"/>
          <s v="Qtr3"/>
          <s v="Qtr4"/>
          <s v="&gt;7/2/2025"/>
        </groupItems>
      </fieldGroup>
    </cacheField>
    <cacheField name="Years" numFmtId="0" databaseField="0">
      <fieldGroup base="2">
        <rangePr groupBy="years" startDate="2024-01-01T00:00:00" endDate="2025-07-02T00:00:00"/>
        <groupItems count="4">
          <s v="&lt;1/1/2024"/>
          <s v="2024"/>
          <s v="2025"/>
          <s v="&gt;7/2/2025"/>
        </groupItems>
      </fieldGroup>
    </cacheField>
  </cacheFields>
  <extLst>
    <ext xmlns:x14="http://schemas.microsoft.com/office/spreadsheetml/2009/9/main" uri="{725AE2AE-9491-48be-B2B4-4EB974FC3084}">
      <x14:pivotCacheDefinition pivotCacheId="19210391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ank singh" refreshedDate="45906.642798958332" createdVersion="7" refreshedVersion="7" minRefreshableVersion="3" recordCount="200" xr:uid="{BBA06221-5CDE-4DA2-B3F2-3F6CC5CD163E}">
  <cacheSource type="worksheet">
    <worksheetSource name="Table2"/>
  </cacheSource>
  <cacheFields count="11">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base="0">
        <rangePr autoStart="0" autoEnd="0" groupBy="days" startDate="2024-06-03T00:00:00" endDate="2025-09-09T00:00:00" groupInterval="7"/>
        <groupItems count="69">
          <s v="&lt;6/3/2024"/>
          <s v="6/3/2024 - 6/9/2024"/>
          <s v="6/10/2024 - 6/16/2024"/>
          <s v="6/17/2024 - 6/23/2024"/>
          <s v="6/24/2024 - 6/30/2024"/>
          <s v="7/1/2024 - 7/7/2024"/>
          <s v="7/8/2024 - 7/14/2024"/>
          <s v="7/15/2024 - 7/21/2024"/>
          <s v="7/22/2024 - 7/28/2024"/>
          <s v="7/29/2024 - 8/4/2024"/>
          <s v="8/5/2024 - 8/11/2024"/>
          <s v="8/12/2024 - 8/18/2024"/>
          <s v="8/19/2024 - 8/25/2024"/>
          <s v="8/26/2024 - 9/1/2024"/>
          <s v="9/2/2024 - 9/8/2024"/>
          <s v="9/9/2024 - 9/15/2024"/>
          <s v="9/16/2024 - 9/22/2024"/>
          <s v="9/23/2024 - 9/29/2024"/>
          <s v="9/30/2024 - 10/6/2024"/>
          <s v="10/7/2024 - 10/13/2024"/>
          <s v="10/14/2024 - 10/20/2024"/>
          <s v="10/21/2024 - 10/27/2024"/>
          <s v="10/28/2024 - 11/3/2024"/>
          <s v="11/4/2024 - 11/10/2024"/>
          <s v="11/11/2024 - 11/17/2024"/>
          <s v="11/18/2024 - 11/24/2024"/>
          <s v="11/25/2024 - 12/1/2024"/>
          <s v="12/2/2024 - 12/8/2024"/>
          <s v="12/9/2024 - 12/15/2024"/>
          <s v="12/16/2024 - 12/22/2024"/>
          <s v="12/23/2024 - 12/29/2024"/>
          <s v="12/30/2024 - 1/5/2025"/>
          <s v="1/6/2025 - 1/12/2025"/>
          <s v="1/13/2025 - 1/19/2025"/>
          <s v="1/20/2025 - 1/26/2025"/>
          <s v="1/27/2025 - 2/2/2025"/>
          <s v="2/3/2025 - 2/9/2025"/>
          <s v="2/10/2025 - 2/16/2025"/>
          <s v="2/17/2025 - 2/23/2025"/>
          <s v="2/24/2025 - 3/2/2025"/>
          <s v="3/3/2025 - 3/9/2025"/>
          <s v="3/10/2025 - 3/16/2025"/>
          <s v="3/17/2025 - 3/23/2025"/>
          <s v="3/24/2025 - 3/30/2025"/>
          <s v="3/31/2025 - 4/6/2025"/>
          <s v="4/7/2025 - 4/13/2025"/>
          <s v="4/14/2025 - 4/20/2025"/>
          <s v="4/21/2025 - 4/27/2025"/>
          <s v="4/28/2025 - 5/4/2025"/>
          <s v="5/5/2025 - 5/11/2025"/>
          <s v="5/12/2025 - 5/18/2025"/>
          <s v="5/19/2025 - 5/25/2025"/>
          <s v="5/26/2025 - 6/1/2025"/>
          <s v="6/2/2025 - 6/8/2025"/>
          <s v="6/9/2025 - 6/15/2025"/>
          <s v="6/16/2025 - 6/22/2025"/>
          <s v="6/23/2025 - 6/29/2025"/>
          <s v="6/30/2025 - 7/6/2025"/>
          <s v="7/7/2025 - 7/13/2025"/>
          <s v="7/14/2025 - 7/20/2025"/>
          <s v="7/21/2025 - 7/27/2025"/>
          <s v="7/28/2025 - 8/3/2025"/>
          <s v="8/4/2025 - 8/10/2025"/>
          <s v="8/11/2025 - 8/17/2025"/>
          <s v="8/18/2025 - 8/24/2025"/>
          <s v="8/25/2025 - 8/31/2025"/>
          <s v="9/1/2025 - 9/7/2025"/>
          <s v="9/8/2025 - 9/9/2025"/>
          <s v="&gt;9/9/2025"/>
        </groupItems>
      </fieldGroup>
    </cacheField>
    <cacheField name="Platform" numFmtId="0">
      <sharedItems count="3">
        <s v="Instagram"/>
        <s v="Twitter"/>
        <s v="YouTube"/>
      </sharedItems>
    </cacheField>
    <cacheField name="New_Followers" numFmtId="2">
      <sharedItems containsSemiMixedTypes="0" containsString="0" containsNumber="1" containsInteger="1" minValue="503" maxValue="1490"/>
    </cacheField>
    <cacheField name="Unfollows" numFmtId="2">
      <sharedItems containsSemiMixedTypes="0" containsString="0" containsNumber="1" containsInteger="1" minValue="50" maxValue="296"/>
    </cacheField>
    <cacheField name="net followers grth" numFmtId="2">
      <sharedItems containsSemiMixedTypes="0" containsString="0" containsNumber="1" containsInteger="1" minValue="250" maxValue="1397"/>
    </cacheField>
    <cacheField name="Total_Followers" numFmtId="2">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67">
      <sharedItems containsSemiMixedTypes="0" containsString="0" containsNumber="1" containsInteger="1" minValue="5281" maxValue="27829"/>
    </cacheField>
    <cacheField name="Weekly groth rate" numFmtId="10">
      <sharedItems containsSemiMixedTypes="0" containsString="0" containsNumber="1" minValue="-0.82668476027350035" maxValue="4.1443163960188585"/>
    </cacheField>
    <cacheField name="campign name" numFmtId="2">
      <sharedItems count="5">
        <s v="No Campign"/>
        <s v="SummerBeats"/>
        <s v="Wrapped2024"/>
        <s v="ChillVibes"/>
        <s v="IndieWave"/>
      </sharedItems>
    </cacheField>
    <cacheField name="ROI" numFmtId="169">
      <sharedItems containsSemiMixedTypes="0" containsString="0" containsNumber="1" minValue="1.2683313515655966E-4" maxValue="1.5508474576271187E-3"/>
    </cacheField>
  </cacheFields>
  <extLst>
    <ext xmlns:x14="http://schemas.microsoft.com/office/spreadsheetml/2009/9/main" uri="{725AE2AE-9491-48be-B2B4-4EB974FC3084}">
      <x14:pivotCacheDefinition pivotCacheId="189510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x v="0"/>
    <x v="0"/>
    <s v="Discover fresh beats on Spotify!"/>
    <n v="2414"/>
    <n v="245"/>
    <n v="137"/>
    <n v="21181"/>
    <n v="45292"/>
    <n v="133"/>
    <x v="0"/>
    <x v="0"/>
    <x v="0"/>
    <n v="0.13200509890939993"/>
    <d v="2025-01-10T00:00:00"/>
    <d v="2025-02-10T00:00:00"/>
    <x v="0"/>
  </r>
  <r>
    <s v="SP002"/>
    <x v="0"/>
    <x v="1"/>
    <x v="0"/>
    <s v="Explore the latest podcasts now."/>
    <n v="1934"/>
    <n v="210"/>
    <n v="393"/>
    <n v="29129"/>
    <n v="73287"/>
    <n v="273"/>
    <x v="1"/>
    <x v="1"/>
    <x v="1"/>
    <n v="8.7095334546328396E-2"/>
    <d v="2025-03-01T00:00:00"/>
    <d v="2025-03-31T00:00:00"/>
    <x v="1"/>
  </r>
  <r>
    <s v="SP003"/>
    <x v="1"/>
    <x v="2"/>
    <x v="1"/>
    <s v="New music just dropped. Hit play!"/>
    <n v="3092"/>
    <n v="177"/>
    <n v="81"/>
    <n v="47533"/>
    <n v="29220"/>
    <n v="121"/>
    <x v="2"/>
    <x v="0"/>
    <x v="0"/>
    <n v="7.0477352576105018E-2"/>
    <d v="2025-01-10T00:00:00"/>
    <d v="2025-02-10T00:00:00"/>
    <x v="1"/>
  </r>
  <r>
    <s v="SP004"/>
    <x v="0"/>
    <x v="2"/>
    <x v="0"/>
    <s v="Wrapped is here! Relive your top tracks ðŸŽ§"/>
    <n v="3173"/>
    <n v="229"/>
    <n v="197"/>
    <n v="29604"/>
    <n v="21809"/>
    <n v="272"/>
    <x v="0"/>
    <x v="0"/>
    <x v="0"/>
    <n v="0.1215714092690177"/>
    <d v="2025-01-10T00:00:00"/>
    <d v="2025-02-10T00:00:00"/>
    <x v="1"/>
  </r>
  <r>
    <s v="SP005"/>
    <x v="2"/>
    <x v="3"/>
    <x v="0"/>
    <s v="Music that moves youâ€”only on Spotify."/>
    <n v="2748"/>
    <n v="145"/>
    <n v="315"/>
    <n v="24401"/>
    <n v="61182"/>
    <n v="200"/>
    <x v="1"/>
    <x v="2"/>
    <x v="1"/>
    <n v="0.1314700217204213"/>
    <d v="2025-03-01T00:00:00"/>
    <d v="2025-03-31T00:00:00"/>
    <x v="1"/>
  </r>
  <r>
    <s v="SP006"/>
    <x v="2"/>
    <x v="4"/>
    <x v="0"/>
    <s v="Whatâ€™s your vibe today? #SpotifyHits"/>
    <n v="3882"/>
    <n v="239"/>
    <n v="275"/>
    <n v="58748"/>
    <n v="44646"/>
    <n v="149"/>
    <x v="1"/>
    <x v="2"/>
    <x v="1"/>
    <n v="7.4828079253761837E-2"/>
    <d v="2025-03-01T00:00:00"/>
    <d v="2025-03-31T00:00:00"/>
    <x v="1"/>
  </r>
  <r>
    <s v="SP007"/>
    <x v="1"/>
    <x v="5"/>
    <x v="1"/>
    <s v="Get into the groove with our new drop!"/>
    <n v="4674"/>
    <n v="409"/>
    <n v="327"/>
    <n v="20756"/>
    <n v="63599"/>
    <n v="212"/>
    <x v="0"/>
    <x v="0"/>
    <x v="0"/>
    <n v="0.26064752360763155"/>
    <d v="2025-01-10T00:00:00"/>
    <d v="2025-02-10T00:00:00"/>
    <x v="1"/>
  </r>
  <r>
    <s v="SP008"/>
    <x v="1"/>
    <x v="6"/>
    <x v="1"/>
    <s v="Wrapped is here! Relive your top tracks ðŸŽ§"/>
    <n v="1428"/>
    <n v="347"/>
    <n v="67"/>
    <n v="21148"/>
    <n v="19712"/>
    <n v="120"/>
    <x v="1"/>
    <x v="3"/>
    <x v="0"/>
    <n v="8.7100435029317191E-2"/>
    <d v="2025-01-10T00:00:00"/>
    <d v="2025-02-10T00:00:00"/>
    <x v="1"/>
  </r>
  <r>
    <s v="SP009"/>
    <x v="1"/>
    <x v="7"/>
    <x v="0"/>
    <s v="Top trending tracks updated daily!"/>
    <n v="4432"/>
    <n v="223"/>
    <n v="299"/>
    <n v="59016"/>
    <n v="21742"/>
    <n v="171"/>
    <x v="3"/>
    <x v="1"/>
    <x v="0"/>
    <n v="8.3943337400027115E-2"/>
    <d v="2025-01-10T00:00:00"/>
    <d v="2025-02-10T00:00:00"/>
    <x v="0"/>
  </r>
  <r>
    <s v="SP010"/>
    <x v="1"/>
    <x v="8"/>
    <x v="0"/>
    <s v="Wrapped is here! Relive your top tracks ðŸŽ§"/>
    <n v="2357"/>
    <n v="274"/>
    <n v="172"/>
    <n v="21566"/>
    <n v="66829"/>
    <n v="284"/>
    <x v="3"/>
    <x v="1"/>
    <x v="0"/>
    <n v="0.12997310581470833"/>
    <d v="2025-01-10T00:00:00"/>
    <d v="2025-02-10T00:00:00"/>
    <x v="1"/>
  </r>
  <r>
    <s v="SP011"/>
    <x v="1"/>
    <x v="9"/>
    <x v="0"/>
    <s v="Discover fresh beats on Spotify!"/>
    <n v="1971"/>
    <n v="370"/>
    <n v="306"/>
    <n v="31316"/>
    <n v="27897"/>
    <n v="88"/>
    <x v="0"/>
    <x v="1"/>
    <x v="1"/>
    <n v="8.4525482181632389E-2"/>
    <d v="2025-03-01T00:00:00"/>
    <d v="2025-03-31T00:00:00"/>
    <x v="1"/>
  </r>
  <r>
    <s v="SP012"/>
    <x v="0"/>
    <x v="10"/>
    <x v="0"/>
    <s v="Discover fresh beats on Spotify!"/>
    <n v="1485"/>
    <n v="353"/>
    <n v="244"/>
    <n v="38419"/>
    <n v="38556"/>
    <n v="86"/>
    <x v="0"/>
    <x v="0"/>
    <x v="0"/>
    <n v="5.4191936281527367E-2"/>
    <d v="2025-01-10T00:00:00"/>
    <d v="2025-02-10T00:00:00"/>
    <x v="1"/>
  </r>
  <r>
    <s v="SP013"/>
    <x v="1"/>
    <x v="11"/>
    <x v="1"/>
    <s v="Discover fresh beats on Spotify!"/>
    <n v="3956"/>
    <n v="319"/>
    <n v="61"/>
    <n v="58162"/>
    <n v="28720"/>
    <n v="213"/>
    <x v="2"/>
    <x v="0"/>
    <x v="0"/>
    <n v="7.4550393727863554E-2"/>
    <d v="2025-01-10T00:00:00"/>
    <d v="2025-02-10T00:00:00"/>
    <x v="0"/>
  </r>
  <r>
    <s v="SP014"/>
    <x v="1"/>
    <x v="12"/>
    <x v="0"/>
    <s v="From pop to podcasts, itâ€™s all here."/>
    <n v="2460"/>
    <n v="409"/>
    <n v="253"/>
    <n v="36702"/>
    <n v="46122"/>
    <n v="264"/>
    <x v="3"/>
    <x v="1"/>
    <x v="0"/>
    <n v="8.5063484278785892E-2"/>
    <d v="2025-01-10T00:00:00"/>
    <d v="2025-02-10T00:00:00"/>
    <x v="1"/>
  </r>
  <r>
    <s v="SP015"/>
    <x v="1"/>
    <x v="13"/>
    <x v="0"/>
    <s v="Your weekend playlist is waiting."/>
    <n v="3476"/>
    <n v="355"/>
    <n v="396"/>
    <n v="37492"/>
    <n v="27285"/>
    <n v="179"/>
    <x v="3"/>
    <x v="1"/>
    <x v="0"/>
    <n v="0.11274405206444041"/>
    <d v="2025-01-10T00:00:00"/>
    <d v="2025-02-10T00:00:00"/>
    <x v="1"/>
  </r>
  <r>
    <s v="SP016"/>
    <x v="1"/>
    <x v="14"/>
    <x v="1"/>
    <s v="New music just dropped. Hit play!"/>
    <n v="4049"/>
    <n v="377"/>
    <n v="94"/>
    <n v="48182"/>
    <n v="42875"/>
    <n v="172"/>
    <x v="2"/>
    <x v="0"/>
    <x v="0"/>
    <n v="9.3810966751068869E-2"/>
    <d v="2025-01-10T00:00:00"/>
    <d v="2025-02-10T00:00:00"/>
    <x v="1"/>
  </r>
  <r>
    <s v="SP017"/>
    <x v="1"/>
    <x v="15"/>
    <x v="0"/>
    <s v="Whatâ€™s your vibe today? #SpotifyHits"/>
    <n v="1514"/>
    <n v="164"/>
    <n v="275"/>
    <n v="41364"/>
    <n v="44389"/>
    <n v="83"/>
    <x v="3"/>
    <x v="1"/>
    <x v="0"/>
    <n v="4.7214969538729328E-2"/>
    <d v="2025-01-10T00:00:00"/>
    <d v="2025-02-10T00:00:00"/>
    <x v="1"/>
  </r>
  <r>
    <s v="SP018"/>
    <x v="0"/>
    <x v="16"/>
    <x v="1"/>
    <s v="Music that moves youâ€”only on Spotify."/>
    <n v="4281"/>
    <n v="101"/>
    <n v="163"/>
    <n v="32278"/>
    <n v="53382"/>
    <n v="235"/>
    <x v="3"/>
    <x v="1"/>
    <x v="2"/>
    <n v="0.1408079806679472"/>
    <d v="2024-12-01T00:00:00"/>
    <d v="2024-12-31T00:00:00"/>
    <x v="1"/>
  </r>
  <r>
    <s v="SP019"/>
    <x v="2"/>
    <x v="17"/>
    <x v="2"/>
    <s v="Get into the groove with our new drop!"/>
    <n v="1751"/>
    <n v="143"/>
    <n v="151"/>
    <n v="31826"/>
    <n v="47729"/>
    <n v="95"/>
    <x v="1"/>
    <x v="4"/>
    <x v="3"/>
    <n v="6.4255640042732362E-2"/>
    <d v="2024-06-15T00:00:00"/>
    <d v="2024-07-15T00:00:00"/>
    <x v="2"/>
  </r>
  <r>
    <s v="SP020"/>
    <x v="0"/>
    <x v="18"/>
    <x v="0"/>
    <s v="Your weekend playlist is waiting."/>
    <n v="3753"/>
    <n v="411"/>
    <n v="308"/>
    <n v="29138"/>
    <n v="27678"/>
    <n v="90"/>
    <x v="1"/>
    <x v="1"/>
    <x v="1"/>
    <n v="0.15347655981879332"/>
    <d v="2025-03-01T00:00:00"/>
    <d v="2025-03-31T00:00:00"/>
    <x v="1"/>
  </r>
  <r>
    <s v="SP021"/>
    <x v="0"/>
    <x v="19"/>
    <x v="1"/>
    <s v="Wrapped is here! Relive your top tracks ðŸŽ§"/>
    <n v="1678"/>
    <n v="423"/>
    <n v="323"/>
    <n v="55668"/>
    <n v="37945"/>
    <n v="230"/>
    <x v="3"/>
    <x v="1"/>
    <x v="2"/>
    <n v="4.3543867212761371E-2"/>
    <d v="2024-12-01T00:00:00"/>
    <d v="2024-12-31T00:00:00"/>
    <x v="1"/>
  </r>
  <r>
    <s v="SP022"/>
    <x v="0"/>
    <x v="7"/>
    <x v="0"/>
    <s v="Whatâ€™s your vibe today? #SpotifyHits"/>
    <n v="4896"/>
    <n v="466"/>
    <n v="233"/>
    <n v="28621"/>
    <n v="34270"/>
    <n v="84"/>
    <x v="0"/>
    <x v="0"/>
    <x v="0"/>
    <n v="0.19548583208133888"/>
    <d v="2025-01-10T00:00:00"/>
    <d v="2025-02-10T00:00:00"/>
    <x v="0"/>
  </r>
  <r>
    <s v="SP023"/>
    <x v="2"/>
    <x v="20"/>
    <x v="2"/>
    <s v="From pop to podcasts, itâ€™s all here."/>
    <n v="2786"/>
    <n v="368"/>
    <n v="208"/>
    <n v="42000"/>
    <n v="39967"/>
    <n v="103"/>
    <x v="1"/>
    <x v="4"/>
    <x v="3"/>
    <n v="8.0047619047619048E-2"/>
    <d v="2024-06-15T00:00:00"/>
    <d v="2024-07-15T00:00:00"/>
    <x v="1"/>
  </r>
  <r>
    <s v="SP024"/>
    <x v="1"/>
    <x v="21"/>
    <x v="0"/>
    <s v="New music just dropped. Hit play!"/>
    <n v="2607"/>
    <n v="379"/>
    <n v="180"/>
    <n v="28712"/>
    <n v="61620"/>
    <n v="174"/>
    <x v="0"/>
    <x v="1"/>
    <x v="1"/>
    <n v="0.11026748397882419"/>
    <d v="2025-03-01T00:00:00"/>
    <d v="2025-03-31T00:00:00"/>
    <x v="1"/>
  </r>
  <r>
    <s v="SP025"/>
    <x v="2"/>
    <x v="22"/>
    <x v="2"/>
    <s v="From pop to podcasts, itâ€™s all here."/>
    <n v="4013"/>
    <n v="320"/>
    <n v="92"/>
    <n v="54605"/>
    <n v="60169"/>
    <n v="232"/>
    <x v="1"/>
    <x v="4"/>
    <x v="3"/>
    <n v="8.1036535115831879E-2"/>
    <d v="2024-06-15T00:00:00"/>
    <d v="2024-07-15T00:00:00"/>
    <x v="0"/>
  </r>
  <r>
    <s v="SP026"/>
    <x v="1"/>
    <x v="23"/>
    <x v="1"/>
    <s v="From pop to podcasts, itâ€™s all here."/>
    <n v="2707"/>
    <n v="103"/>
    <n v="51"/>
    <n v="55302"/>
    <n v="18801"/>
    <n v="147"/>
    <x v="1"/>
    <x v="3"/>
    <x v="0"/>
    <n v="5.173411449857148E-2"/>
    <d v="2025-01-10T00:00:00"/>
    <d v="2025-02-10T00:00:00"/>
    <x v="0"/>
  </r>
  <r>
    <s v="SP027"/>
    <x v="0"/>
    <x v="24"/>
    <x v="0"/>
    <s v="Whatâ€™s your vibe today? #SpotifyHits"/>
    <n v="2824"/>
    <n v="425"/>
    <n v="274"/>
    <n v="31004"/>
    <n v="53488"/>
    <n v="268"/>
    <x v="0"/>
    <x v="0"/>
    <x v="0"/>
    <n v="0.11363049929041415"/>
    <d v="2025-01-10T00:00:00"/>
    <d v="2025-02-10T00:00:00"/>
    <x v="1"/>
  </r>
  <r>
    <s v="SP028"/>
    <x v="2"/>
    <x v="25"/>
    <x v="2"/>
    <s v="Explore the latest podcasts now."/>
    <n v="3558"/>
    <n v="314"/>
    <n v="199"/>
    <n v="49612"/>
    <n v="53929"/>
    <n v="206"/>
    <x v="1"/>
    <x v="4"/>
    <x v="3"/>
    <n v="8.205676046117874E-2"/>
    <d v="2024-06-15T00:00:00"/>
    <d v="2024-07-15T00:00:00"/>
    <x v="1"/>
  </r>
  <r>
    <s v="SP029"/>
    <x v="1"/>
    <x v="26"/>
    <x v="1"/>
    <s v="Explore the latest podcasts now."/>
    <n v="3418"/>
    <n v="188"/>
    <n v="387"/>
    <n v="57431"/>
    <n v="36933"/>
    <n v="202"/>
    <x v="2"/>
    <x v="0"/>
    <x v="0"/>
    <n v="6.9526910553533799E-2"/>
    <d v="2025-01-10T00:00:00"/>
    <d v="2025-02-10T00:00:00"/>
    <x v="0"/>
  </r>
  <r>
    <s v="SP030"/>
    <x v="1"/>
    <x v="27"/>
    <x v="0"/>
    <s v="Discover fresh beats on Spotify!"/>
    <n v="2411"/>
    <n v="194"/>
    <n v="168"/>
    <n v="26665"/>
    <n v="71699"/>
    <n v="197"/>
    <x v="3"/>
    <x v="1"/>
    <x v="0"/>
    <n v="0.10399399962497656"/>
    <d v="2025-01-10T00:00:00"/>
    <d v="2025-02-10T00:00:00"/>
    <x v="0"/>
  </r>
  <r>
    <s v="SP031"/>
    <x v="0"/>
    <x v="28"/>
    <x v="0"/>
    <s v="New music just dropped. Hit play!"/>
    <n v="4036"/>
    <n v="112"/>
    <n v="382"/>
    <n v="56284"/>
    <n v="29440"/>
    <n v="279"/>
    <x v="0"/>
    <x v="0"/>
    <x v="0"/>
    <n v="8.0484684812735408E-2"/>
    <d v="2025-01-10T00:00:00"/>
    <d v="2025-02-10T00:00:00"/>
    <x v="1"/>
  </r>
  <r>
    <s v="SP032"/>
    <x v="1"/>
    <x v="29"/>
    <x v="1"/>
    <s v="Explore the latest podcasts now."/>
    <n v="2776"/>
    <n v="307"/>
    <n v="178"/>
    <n v="43365"/>
    <n v="48408"/>
    <n v="138"/>
    <x v="0"/>
    <x v="0"/>
    <x v="0"/>
    <n v="7.519889311656866E-2"/>
    <d v="2025-01-10T00:00:00"/>
    <d v="2025-02-10T00:00:00"/>
    <x v="1"/>
  </r>
  <r>
    <s v="SP033"/>
    <x v="1"/>
    <x v="30"/>
    <x v="1"/>
    <s v="Discover fresh beats on Spotify!"/>
    <n v="4929"/>
    <n v="182"/>
    <n v="95"/>
    <n v="32181"/>
    <n v="31084"/>
    <n v="289"/>
    <x v="1"/>
    <x v="3"/>
    <x v="0"/>
    <n v="0.16177247444144061"/>
    <d v="2025-01-10T00:00:00"/>
    <d v="2025-02-10T00:00:00"/>
    <x v="1"/>
  </r>
  <r>
    <s v="SP034"/>
    <x v="0"/>
    <x v="31"/>
    <x v="0"/>
    <s v="New music just dropped. Hit play!"/>
    <n v="1015"/>
    <n v="366"/>
    <n v="308"/>
    <n v="38127"/>
    <n v="63790"/>
    <n v="287"/>
    <x v="0"/>
    <x v="0"/>
    <x v="0"/>
    <n v="4.4299315445747112E-2"/>
    <d v="2025-01-10T00:00:00"/>
    <d v="2025-02-10T00:00:00"/>
    <x v="1"/>
  </r>
  <r>
    <s v="SP035"/>
    <x v="1"/>
    <x v="32"/>
    <x v="1"/>
    <s v="Your weekend playlist is waiting."/>
    <n v="3316"/>
    <n v="332"/>
    <n v="268"/>
    <n v="40095"/>
    <n v="36913"/>
    <n v="265"/>
    <x v="2"/>
    <x v="0"/>
    <x v="0"/>
    <n v="9.7668038408779148E-2"/>
    <d v="2025-01-10T00:00:00"/>
    <d v="2025-02-10T00:00:00"/>
    <x v="0"/>
  </r>
  <r>
    <s v="SP036"/>
    <x v="0"/>
    <x v="33"/>
    <x v="0"/>
    <s v="Wrapped is here! Relive your top tracks ðŸŽ§"/>
    <n v="2274"/>
    <n v="243"/>
    <n v="222"/>
    <n v="43066"/>
    <n v="59174"/>
    <n v="80"/>
    <x v="1"/>
    <x v="1"/>
    <x v="1"/>
    <n v="6.3600055728416843E-2"/>
    <d v="2025-03-01T00:00:00"/>
    <d v="2025-03-31T00:00:00"/>
    <x v="1"/>
  </r>
  <r>
    <s v="SP037"/>
    <x v="1"/>
    <x v="34"/>
    <x v="1"/>
    <s v="Explore the latest podcasts now."/>
    <n v="4095"/>
    <n v="385"/>
    <n v="400"/>
    <n v="45300"/>
    <n v="31795"/>
    <n v="80"/>
    <x v="2"/>
    <x v="0"/>
    <x v="0"/>
    <n v="0.10772626931567329"/>
    <d v="2025-01-10T00:00:00"/>
    <d v="2025-02-10T00:00:00"/>
    <x v="0"/>
  </r>
  <r>
    <s v="SP038"/>
    <x v="0"/>
    <x v="35"/>
    <x v="1"/>
    <s v="New music just dropped. Hit play!"/>
    <n v="1230"/>
    <n v="309"/>
    <n v="207"/>
    <n v="44629"/>
    <n v="40699"/>
    <n v="195"/>
    <x v="3"/>
    <x v="1"/>
    <x v="2"/>
    <n v="3.9122543637545096E-2"/>
    <d v="2024-12-01T00:00:00"/>
    <d v="2024-12-31T00:00:00"/>
    <x v="1"/>
  </r>
  <r>
    <s v="SP039"/>
    <x v="0"/>
    <x v="36"/>
    <x v="0"/>
    <s v="From pop to podcasts, itâ€™s all here."/>
    <n v="1341"/>
    <n v="472"/>
    <n v="238"/>
    <n v="51386"/>
    <n v="51706"/>
    <n v="133"/>
    <x v="1"/>
    <x v="1"/>
    <x v="1"/>
    <n v="3.9913595142645857E-2"/>
    <d v="2025-03-01T00:00:00"/>
    <d v="2025-03-31T00:00:00"/>
    <x v="1"/>
  </r>
  <r>
    <s v="SP040"/>
    <x v="1"/>
    <x v="37"/>
    <x v="0"/>
    <s v="Explore the latest podcasts now."/>
    <n v="3615"/>
    <n v="192"/>
    <n v="162"/>
    <n v="27492"/>
    <n v="35341"/>
    <n v="125"/>
    <x v="3"/>
    <x v="1"/>
    <x v="0"/>
    <n v="0.14436927106067218"/>
    <d v="2025-01-10T00:00:00"/>
    <d v="2025-02-10T00:00:00"/>
    <x v="0"/>
  </r>
  <r>
    <s v="SP041"/>
    <x v="0"/>
    <x v="38"/>
    <x v="0"/>
    <s v="New music just dropped. Hit play!"/>
    <n v="4001"/>
    <n v="353"/>
    <n v="129"/>
    <n v="41265"/>
    <n v="37279"/>
    <n v="275"/>
    <x v="0"/>
    <x v="0"/>
    <x v="0"/>
    <n v="0.10863928268508422"/>
    <d v="2025-01-10T00:00:00"/>
    <d v="2025-02-10T00:00:00"/>
    <x v="1"/>
  </r>
  <r>
    <s v="SP042"/>
    <x v="0"/>
    <x v="39"/>
    <x v="1"/>
    <s v="Whatâ€™s your vibe today? #SpotifyHits"/>
    <n v="3451"/>
    <n v="363"/>
    <n v="393"/>
    <n v="44853"/>
    <n v="69032"/>
    <n v="211"/>
    <x v="3"/>
    <x v="1"/>
    <x v="2"/>
    <n v="9.379528682585335E-2"/>
    <d v="2024-12-01T00:00:00"/>
    <d v="2024-12-31T00:00:00"/>
    <x v="0"/>
  </r>
  <r>
    <s v="SP043"/>
    <x v="0"/>
    <x v="40"/>
    <x v="0"/>
    <s v="Top trending tracks updated daily!"/>
    <n v="4891"/>
    <n v="450"/>
    <n v="387"/>
    <n v="48746"/>
    <n v="37312"/>
    <n v="154"/>
    <x v="0"/>
    <x v="0"/>
    <x v="0"/>
    <n v="0.11750707750379519"/>
    <d v="2025-01-10T00:00:00"/>
    <d v="2025-02-10T00:00:00"/>
    <x v="0"/>
  </r>
  <r>
    <s v="SP044"/>
    <x v="0"/>
    <x v="41"/>
    <x v="0"/>
    <s v="New music just dropped. Hit play!"/>
    <n v="1452"/>
    <n v="281"/>
    <n v="326"/>
    <n v="51556"/>
    <n v="62599"/>
    <n v="290"/>
    <x v="1"/>
    <x v="1"/>
    <x v="1"/>
    <n v="3.9937155714174881E-2"/>
    <d v="2025-03-01T00:00:00"/>
    <d v="2025-03-31T00:00:00"/>
    <x v="1"/>
  </r>
  <r>
    <s v="SP045"/>
    <x v="2"/>
    <x v="42"/>
    <x v="0"/>
    <s v="Your weekend playlist is waiting."/>
    <n v="3806"/>
    <n v="114"/>
    <n v="278"/>
    <n v="36148"/>
    <n v="24209"/>
    <n v="201"/>
    <x v="1"/>
    <x v="2"/>
    <x v="1"/>
    <n v="0.11613367267898639"/>
    <d v="2025-03-01T00:00:00"/>
    <d v="2025-03-31T00:00:00"/>
    <x v="1"/>
  </r>
  <r>
    <s v="SP046"/>
    <x v="0"/>
    <x v="43"/>
    <x v="0"/>
    <s v="Explore the latest podcasts now."/>
    <n v="2923"/>
    <n v="330"/>
    <n v="250"/>
    <n v="23993"/>
    <n v="74590"/>
    <n v="92"/>
    <x v="1"/>
    <x v="1"/>
    <x v="1"/>
    <n v="0.14600091693410577"/>
    <d v="2025-03-01T00:00:00"/>
    <d v="2025-03-31T00:00:00"/>
    <x v="1"/>
  </r>
  <r>
    <s v="SP047"/>
    <x v="2"/>
    <x v="44"/>
    <x v="2"/>
    <s v="From pop to podcasts, itâ€™s all here."/>
    <n v="3361"/>
    <n v="188"/>
    <n v="358"/>
    <n v="39838"/>
    <n v="24536"/>
    <n v="120"/>
    <x v="1"/>
    <x v="4"/>
    <x v="3"/>
    <n v="9.8072192379135503E-2"/>
    <d v="2024-06-15T00:00:00"/>
    <d v="2024-07-15T00:00:00"/>
    <x v="1"/>
  </r>
  <r>
    <s v="SP048"/>
    <x v="0"/>
    <x v="45"/>
    <x v="1"/>
    <s v="Music that moves youâ€”only on Spotify."/>
    <n v="3074"/>
    <n v="371"/>
    <n v="348"/>
    <n v="24104"/>
    <n v="57803"/>
    <n v="213"/>
    <x v="3"/>
    <x v="1"/>
    <x v="2"/>
    <n v="0.15735977431131762"/>
    <d v="2024-12-01T00:00:00"/>
    <d v="2024-12-31T00:00:00"/>
    <x v="0"/>
  </r>
  <r>
    <s v="SP049"/>
    <x v="1"/>
    <x v="46"/>
    <x v="1"/>
    <s v="Get into the groove with our new drop!"/>
    <n v="4276"/>
    <n v="227"/>
    <n v="223"/>
    <n v="43443"/>
    <n v="41005"/>
    <n v="191"/>
    <x v="1"/>
    <x v="3"/>
    <x v="0"/>
    <n v="0.1087862256289851"/>
    <d v="2025-01-10T00:00:00"/>
    <d v="2025-02-10T00:00:00"/>
    <x v="1"/>
  </r>
  <r>
    <s v="SP050"/>
    <x v="1"/>
    <x v="47"/>
    <x v="0"/>
    <s v="Discover fresh beats on Spotify!"/>
    <n v="4401"/>
    <n v="421"/>
    <n v="216"/>
    <n v="24890"/>
    <n v="54361"/>
    <n v="148"/>
    <x v="3"/>
    <x v="1"/>
    <x v="0"/>
    <n v="0.20241060666934513"/>
    <d v="2025-01-10T00:00:00"/>
    <d v="2025-02-10T00:00:00"/>
    <x v="0"/>
  </r>
  <r>
    <s v="SP051"/>
    <x v="2"/>
    <x v="48"/>
    <x v="2"/>
    <s v="Explore the latest podcasts now."/>
    <n v="4161"/>
    <n v="481"/>
    <n v="61"/>
    <n v="45884"/>
    <n v="48955"/>
    <n v="215"/>
    <x v="1"/>
    <x v="4"/>
    <x v="3"/>
    <n v="0.10249760265016128"/>
    <d v="2024-06-15T00:00:00"/>
    <d v="2024-07-15T00:00:00"/>
    <x v="1"/>
  </r>
  <r>
    <s v="SP052"/>
    <x v="1"/>
    <x v="49"/>
    <x v="1"/>
    <s v="New music just dropped. Hit play!"/>
    <n v="2613"/>
    <n v="455"/>
    <n v="228"/>
    <n v="21645"/>
    <n v="61334"/>
    <n v="261"/>
    <x v="1"/>
    <x v="3"/>
    <x v="0"/>
    <n v="0.15227535227535227"/>
    <d v="2025-01-10T00:00:00"/>
    <d v="2025-02-10T00:00:00"/>
    <x v="1"/>
  </r>
  <r>
    <s v="SP053"/>
    <x v="1"/>
    <x v="50"/>
    <x v="1"/>
    <s v="Whatâ€™s your vibe today? #SpotifyHits"/>
    <n v="2842"/>
    <n v="213"/>
    <n v="331"/>
    <n v="57660"/>
    <n v="68606"/>
    <n v="87"/>
    <x v="2"/>
    <x v="0"/>
    <x v="0"/>
    <n v="5.8723551855705859E-2"/>
    <d v="2025-01-10T00:00:00"/>
    <d v="2025-02-10T00:00:00"/>
    <x v="1"/>
  </r>
  <r>
    <s v="SP054"/>
    <x v="0"/>
    <x v="51"/>
    <x v="0"/>
    <s v="Get into the groove with our new drop!"/>
    <n v="4851"/>
    <n v="460"/>
    <n v="212"/>
    <n v="58075"/>
    <n v="59574"/>
    <n v="239"/>
    <x v="1"/>
    <x v="1"/>
    <x v="1"/>
    <n v="9.5101162290142052E-2"/>
    <d v="2025-03-01T00:00:00"/>
    <d v="2025-03-31T00:00:00"/>
    <x v="2"/>
  </r>
  <r>
    <s v="SP055"/>
    <x v="1"/>
    <x v="52"/>
    <x v="0"/>
    <s v="Explore the latest podcasts now."/>
    <n v="1828"/>
    <n v="450"/>
    <n v="214"/>
    <n v="52115"/>
    <n v="19166"/>
    <n v="190"/>
    <x v="3"/>
    <x v="1"/>
    <x v="0"/>
    <n v="4.781732706514439E-2"/>
    <d v="2025-01-10T00:00:00"/>
    <d v="2025-02-10T00:00:00"/>
    <x v="1"/>
  </r>
  <r>
    <s v="SP056"/>
    <x v="0"/>
    <x v="53"/>
    <x v="1"/>
    <s v="From pop to podcasts, itâ€™s all here."/>
    <n v="2422"/>
    <n v="455"/>
    <n v="376"/>
    <n v="23428"/>
    <n v="46775"/>
    <n v="259"/>
    <x v="3"/>
    <x v="1"/>
    <x v="2"/>
    <n v="0.13885094758408742"/>
    <d v="2024-12-01T00:00:00"/>
    <d v="2024-12-31T00:00:00"/>
    <x v="0"/>
  </r>
  <r>
    <s v="SP057"/>
    <x v="0"/>
    <x v="54"/>
    <x v="0"/>
    <s v="Top trending tracks updated daily!"/>
    <n v="2683"/>
    <n v="405"/>
    <n v="223"/>
    <n v="31233"/>
    <n v="58106"/>
    <n v="291"/>
    <x v="1"/>
    <x v="1"/>
    <x v="1"/>
    <n v="0.10600966926007749"/>
    <d v="2025-03-01T00:00:00"/>
    <d v="2025-03-31T00:00:00"/>
    <x v="1"/>
  </r>
  <r>
    <s v="SP058"/>
    <x v="2"/>
    <x v="55"/>
    <x v="0"/>
    <s v="Top trending tracks updated daily!"/>
    <n v="3135"/>
    <n v="110"/>
    <n v="215"/>
    <n v="39192"/>
    <n v="24744"/>
    <n v="177"/>
    <x v="1"/>
    <x v="2"/>
    <x v="1"/>
    <n v="8.8283323127168814E-2"/>
    <d v="2025-03-01T00:00:00"/>
    <d v="2025-03-31T00:00:00"/>
    <x v="1"/>
  </r>
  <r>
    <s v="SP059"/>
    <x v="2"/>
    <x v="56"/>
    <x v="0"/>
    <s v="From pop to podcasts, itâ€™s all here."/>
    <n v="1105"/>
    <n v="181"/>
    <n v="55"/>
    <n v="53581"/>
    <n v="74048"/>
    <n v="220"/>
    <x v="1"/>
    <x v="2"/>
    <x v="1"/>
    <n v="2.50275284149232E-2"/>
    <d v="2025-03-01T00:00:00"/>
    <d v="2025-03-31T00:00:00"/>
    <x v="1"/>
  </r>
  <r>
    <s v="SP060"/>
    <x v="2"/>
    <x v="57"/>
    <x v="0"/>
    <s v="Discover fresh beats on Spotify!"/>
    <n v="4674"/>
    <n v="326"/>
    <n v="62"/>
    <n v="45503"/>
    <n v="46814"/>
    <n v="116"/>
    <x v="1"/>
    <x v="2"/>
    <x v="1"/>
    <n v="0.11124541239039185"/>
    <d v="2025-03-01T00:00:00"/>
    <d v="2025-03-31T00:00:00"/>
    <x v="1"/>
  </r>
  <r>
    <s v="SP061"/>
    <x v="2"/>
    <x v="58"/>
    <x v="2"/>
    <s v="Explore the latest podcasts now."/>
    <n v="3437"/>
    <n v="129"/>
    <n v="359"/>
    <n v="44558"/>
    <n v="30854"/>
    <n v="171"/>
    <x v="1"/>
    <x v="4"/>
    <x v="3"/>
    <n v="8.8087436599488311E-2"/>
    <d v="2024-06-15T00:00:00"/>
    <d v="2024-07-15T00:00:00"/>
    <x v="1"/>
  </r>
  <r>
    <s v="SP062"/>
    <x v="1"/>
    <x v="59"/>
    <x v="1"/>
    <s v="Wrapped is here! Relive your top tracks ðŸŽ§"/>
    <n v="1959"/>
    <n v="316"/>
    <n v="82"/>
    <n v="54036"/>
    <n v="69015"/>
    <n v="182"/>
    <x v="2"/>
    <x v="0"/>
    <x v="0"/>
    <n v="4.3619068768968837E-2"/>
    <d v="2025-01-10T00:00:00"/>
    <d v="2025-02-10T00:00:00"/>
    <x v="1"/>
  </r>
  <r>
    <s v="SP063"/>
    <x v="1"/>
    <x v="60"/>
    <x v="0"/>
    <s v="New music just dropped. Hit play!"/>
    <n v="1035"/>
    <n v="137"/>
    <n v="184"/>
    <n v="37302"/>
    <n v="68953"/>
    <n v="237"/>
    <x v="0"/>
    <x v="1"/>
    <x v="1"/>
    <n v="3.6351938233874857E-2"/>
    <d v="2025-03-01T00:00:00"/>
    <d v="2025-03-31T00:00:00"/>
    <x v="1"/>
  </r>
  <r>
    <s v="SP064"/>
    <x v="1"/>
    <x v="61"/>
    <x v="1"/>
    <s v="New music just dropped. Hit play!"/>
    <n v="4478"/>
    <n v="101"/>
    <n v="121"/>
    <n v="51035"/>
    <n v="58207"/>
    <n v="205"/>
    <x v="2"/>
    <x v="0"/>
    <x v="0"/>
    <n v="9.2093661212893113E-2"/>
    <d v="2025-01-10T00:00:00"/>
    <d v="2025-02-10T00:00:00"/>
    <x v="2"/>
  </r>
  <r>
    <s v="SP065"/>
    <x v="2"/>
    <x v="62"/>
    <x v="0"/>
    <s v="From pop to podcasts, itâ€™s all here."/>
    <n v="1488"/>
    <n v="327"/>
    <n v="110"/>
    <n v="53805"/>
    <n v="30239"/>
    <n v="109"/>
    <x v="1"/>
    <x v="2"/>
    <x v="1"/>
    <n v="3.5777344113000653E-2"/>
    <d v="2025-03-01T00:00:00"/>
    <d v="2025-03-31T00:00:00"/>
    <x v="1"/>
  </r>
  <r>
    <s v="SP066"/>
    <x v="0"/>
    <x v="63"/>
    <x v="0"/>
    <s v="Wrapped is here! Relive your top tracks ðŸŽ§"/>
    <n v="4836"/>
    <n v="331"/>
    <n v="140"/>
    <n v="58792"/>
    <n v="47711"/>
    <n v="227"/>
    <x v="0"/>
    <x v="0"/>
    <x v="0"/>
    <n v="9.0267383317458164E-2"/>
    <d v="2025-01-10T00:00:00"/>
    <d v="2025-02-10T00:00:00"/>
    <x v="0"/>
  </r>
  <r>
    <s v="SP067"/>
    <x v="2"/>
    <x v="64"/>
    <x v="2"/>
    <s v="Your weekend playlist is waiting."/>
    <n v="4563"/>
    <n v="488"/>
    <n v="356"/>
    <n v="30619"/>
    <n v="23328"/>
    <n v="267"/>
    <x v="1"/>
    <x v="4"/>
    <x v="3"/>
    <n v="0.17658969920637513"/>
    <d v="2024-06-15T00:00:00"/>
    <d v="2024-07-15T00:00:00"/>
    <x v="1"/>
  </r>
  <r>
    <s v="SP068"/>
    <x v="1"/>
    <x v="65"/>
    <x v="0"/>
    <s v="Music that moves youâ€”only on Spotify."/>
    <n v="3276"/>
    <n v="421"/>
    <n v="114"/>
    <n v="20580"/>
    <n v="30324"/>
    <n v="221"/>
    <x v="0"/>
    <x v="1"/>
    <x v="1"/>
    <n v="0.18517978620019437"/>
    <d v="2025-03-01T00:00:00"/>
    <d v="2025-03-31T00:00:00"/>
    <x v="1"/>
  </r>
  <r>
    <s v="SP069"/>
    <x v="1"/>
    <x v="66"/>
    <x v="1"/>
    <s v="Music that moves youâ€”only on Spotify."/>
    <n v="1316"/>
    <n v="472"/>
    <n v="286"/>
    <n v="44692"/>
    <n v="53343"/>
    <n v="227"/>
    <x v="1"/>
    <x v="3"/>
    <x v="0"/>
    <n v="4.6406515707509172E-2"/>
    <d v="2025-01-10T00:00:00"/>
    <d v="2025-02-10T00:00:00"/>
    <x v="1"/>
  </r>
  <r>
    <s v="SP070"/>
    <x v="1"/>
    <x v="67"/>
    <x v="0"/>
    <s v="Wrapped is here! Relive your top tracks ðŸŽ§"/>
    <n v="4811"/>
    <n v="473"/>
    <n v="254"/>
    <n v="51964"/>
    <n v="68795"/>
    <n v="107"/>
    <x v="3"/>
    <x v="1"/>
    <x v="0"/>
    <n v="0.10657378184897237"/>
    <d v="2025-01-10T00:00:00"/>
    <d v="2025-02-10T00:00:00"/>
    <x v="1"/>
  </r>
  <r>
    <s v="SP071"/>
    <x v="1"/>
    <x v="68"/>
    <x v="0"/>
    <s v="Whatâ€™s your vibe today? #SpotifyHits"/>
    <n v="4218"/>
    <n v="247"/>
    <n v="183"/>
    <n v="28914"/>
    <n v="18310"/>
    <n v="135"/>
    <x v="0"/>
    <x v="1"/>
    <x v="1"/>
    <n v="0.1607525766064882"/>
    <d v="2025-03-01T00:00:00"/>
    <d v="2025-03-31T00:00:00"/>
    <x v="1"/>
  </r>
  <r>
    <s v="SP072"/>
    <x v="0"/>
    <x v="69"/>
    <x v="0"/>
    <s v="From pop to podcasts, itâ€™s all here."/>
    <n v="1360"/>
    <n v="249"/>
    <n v="52"/>
    <n v="20368"/>
    <n v="42152"/>
    <n v="193"/>
    <x v="1"/>
    <x v="1"/>
    <x v="1"/>
    <n v="8.1549489395129612E-2"/>
    <d v="2025-03-01T00:00:00"/>
    <d v="2025-03-31T00:00:00"/>
    <x v="1"/>
  </r>
  <r>
    <s v="SP073"/>
    <x v="2"/>
    <x v="70"/>
    <x v="2"/>
    <s v="Discover fresh beats on Spotify!"/>
    <n v="1085"/>
    <n v="496"/>
    <n v="320"/>
    <n v="36528"/>
    <n v="38599"/>
    <n v="270"/>
    <x v="1"/>
    <x v="4"/>
    <x v="3"/>
    <n v="5.2042268944371438E-2"/>
    <d v="2024-06-15T00:00:00"/>
    <d v="2024-07-15T00:00:00"/>
    <x v="0"/>
  </r>
  <r>
    <s v="SP074"/>
    <x v="1"/>
    <x v="71"/>
    <x v="1"/>
    <s v="Get into the groove with our new drop!"/>
    <n v="1763"/>
    <n v="206"/>
    <n v="187"/>
    <n v="53342"/>
    <n v="25095"/>
    <n v="88"/>
    <x v="1"/>
    <x v="3"/>
    <x v="0"/>
    <n v="4.0418432004799221E-2"/>
    <d v="2025-01-10T00:00:00"/>
    <d v="2025-02-10T00:00:00"/>
    <x v="1"/>
  </r>
  <r>
    <s v="SP075"/>
    <x v="1"/>
    <x v="72"/>
    <x v="1"/>
    <s v="From pop to podcasts, itâ€™s all here."/>
    <n v="1554"/>
    <n v="455"/>
    <n v="158"/>
    <n v="41947"/>
    <n v="48578"/>
    <n v="101"/>
    <x v="0"/>
    <x v="0"/>
    <x v="0"/>
    <n v="5.1660428636136076E-2"/>
    <d v="2025-01-10T00:00:00"/>
    <d v="2025-02-10T00:00:00"/>
    <x v="1"/>
  </r>
  <r>
    <s v="SP076"/>
    <x v="0"/>
    <x v="42"/>
    <x v="0"/>
    <s v="Wrapped is here! Relive your top tracks ðŸŽ§"/>
    <n v="2464"/>
    <n v="401"/>
    <n v="78"/>
    <n v="38665"/>
    <n v="73593"/>
    <n v="207"/>
    <x v="1"/>
    <x v="1"/>
    <x v="1"/>
    <n v="7.611534979956032E-2"/>
    <d v="2025-03-01T00:00:00"/>
    <d v="2025-03-31T00:00:00"/>
    <x v="1"/>
  </r>
  <r>
    <s v="SP077"/>
    <x v="1"/>
    <x v="73"/>
    <x v="0"/>
    <s v="From pop to podcasts, itâ€™s all here."/>
    <n v="2418"/>
    <n v="161"/>
    <n v="360"/>
    <n v="30589"/>
    <n v="41383"/>
    <n v="88"/>
    <x v="3"/>
    <x v="1"/>
    <x v="0"/>
    <n v="9.6080290300434801E-2"/>
    <d v="2025-01-10T00:00:00"/>
    <d v="2025-02-10T00:00:00"/>
    <x v="0"/>
  </r>
  <r>
    <s v="SP078"/>
    <x v="1"/>
    <x v="74"/>
    <x v="1"/>
    <s v="Discover fresh beats on Spotify!"/>
    <n v="2494"/>
    <n v="494"/>
    <n v="55"/>
    <n v="22580"/>
    <n v="22214"/>
    <n v="109"/>
    <x v="2"/>
    <x v="0"/>
    <x v="0"/>
    <n v="0.13476527900797167"/>
    <d v="2025-01-10T00:00:00"/>
    <d v="2025-02-10T00:00:00"/>
    <x v="2"/>
  </r>
  <r>
    <s v="SP079"/>
    <x v="2"/>
    <x v="75"/>
    <x v="2"/>
    <s v="New music just dropped. Hit play!"/>
    <n v="4781"/>
    <n v="191"/>
    <n v="122"/>
    <n v="35535"/>
    <n v="50777"/>
    <n v="128"/>
    <x v="1"/>
    <x v="4"/>
    <x v="3"/>
    <n v="0.14335162515829464"/>
    <d v="2024-06-15T00:00:00"/>
    <d v="2024-07-15T00:00:00"/>
    <x v="1"/>
  </r>
  <r>
    <s v="SP080"/>
    <x v="0"/>
    <x v="76"/>
    <x v="0"/>
    <s v="Music that moves youâ€”only on Spotify."/>
    <n v="2284"/>
    <n v="187"/>
    <n v="260"/>
    <n v="37400"/>
    <n v="65014"/>
    <n v="157"/>
    <x v="0"/>
    <x v="0"/>
    <x v="0"/>
    <n v="7.3021390374331557E-2"/>
    <d v="2025-01-10T00:00:00"/>
    <d v="2025-02-10T00:00:00"/>
    <x v="0"/>
  </r>
  <r>
    <s v="SP081"/>
    <x v="1"/>
    <x v="77"/>
    <x v="0"/>
    <s v="Get into the groove with our new drop!"/>
    <n v="4234"/>
    <n v="486"/>
    <n v="276"/>
    <n v="56623"/>
    <n v="41343"/>
    <n v="184"/>
    <x v="0"/>
    <x v="1"/>
    <x v="1"/>
    <n v="8.8232696960599044E-2"/>
    <d v="2025-03-01T00:00:00"/>
    <d v="2025-03-31T00:00:00"/>
    <x v="2"/>
  </r>
  <r>
    <s v="SP082"/>
    <x v="0"/>
    <x v="78"/>
    <x v="0"/>
    <s v="Your weekend playlist is waiting."/>
    <n v="2102"/>
    <n v="181"/>
    <n v="306"/>
    <n v="43650"/>
    <n v="50079"/>
    <n v="182"/>
    <x v="1"/>
    <x v="1"/>
    <x v="1"/>
    <n v="5.9312714776632303E-2"/>
    <d v="2025-03-01T00:00:00"/>
    <d v="2025-03-31T00:00:00"/>
    <x v="1"/>
  </r>
  <r>
    <s v="SP083"/>
    <x v="1"/>
    <x v="79"/>
    <x v="1"/>
    <s v="Get into the groove with our new drop!"/>
    <n v="4845"/>
    <n v="158"/>
    <n v="84"/>
    <n v="34578"/>
    <n v="51480"/>
    <n v="180"/>
    <x v="0"/>
    <x v="0"/>
    <x v="0"/>
    <n v="0.1471166637746544"/>
    <d v="2025-01-10T00:00:00"/>
    <d v="2025-02-10T00:00:00"/>
    <x v="1"/>
  </r>
  <r>
    <s v="SP084"/>
    <x v="1"/>
    <x v="80"/>
    <x v="0"/>
    <s v="Your weekend playlist is waiting."/>
    <n v="4247"/>
    <n v="390"/>
    <n v="213"/>
    <n v="29785"/>
    <n v="57768"/>
    <n v="122"/>
    <x v="3"/>
    <x v="1"/>
    <x v="0"/>
    <n v="0.16283364109451065"/>
    <d v="2025-01-10T00:00:00"/>
    <d v="2025-02-10T00:00:00"/>
    <x v="1"/>
  </r>
  <r>
    <s v="SP085"/>
    <x v="0"/>
    <x v="81"/>
    <x v="0"/>
    <s v="Explore the latest podcasts now."/>
    <n v="2965"/>
    <n v="328"/>
    <n v="171"/>
    <n v="57685"/>
    <n v="67536"/>
    <n v="264"/>
    <x v="0"/>
    <x v="0"/>
    <x v="0"/>
    <n v="6.0050273034584378E-2"/>
    <d v="2025-01-10T00:00:00"/>
    <d v="2025-02-10T00:00:00"/>
    <x v="1"/>
  </r>
  <r>
    <s v="SP086"/>
    <x v="1"/>
    <x v="23"/>
    <x v="1"/>
    <s v="Wrapped is here! Relive your top tracks ðŸŽ§"/>
    <n v="1371"/>
    <n v="139"/>
    <n v="96"/>
    <n v="36140"/>
    <n v="39395"/>
    <n v="169"/>
    <x v="0"/>
    <x v="0"/>
    <x v="0"/>
    <n v="4.4438295517432211E-2"/>
    <d v="2025-01-10T00:00:00"/>
    <d v="2025-02-10T00:00:00"/>
    <x v="0"/>
  </r>
  <r>
    <s v="SP087"/>
    <x v="1"/>
    <x v="82"/>
    <x v="1"/>
    <s v="Discover fresh beats on Spotify!"/>
    <n v="2683"/>
    <n v="496"/>
    <n v="89"/>
    <n v="53435"/>
    <n v="30334"/>
    <n v="160"/>
    <x v="0"/>
    <x v="0"/>
    <x v="0"/>
    <n v="6.1158416768035934E-2"/>
    <d v="2025-01-10T00:00:00"/>
    <d v="2025-02-10T00:00:00"/>
    <x v="1"/>
  </r>
  <r>
    <s v="SP088"/>
    <x v="1"/>
    <x v="83"/>
    <x v="1"/>
    <s v="Whatâ€™s your vibe today? #SpotifyHits"/>
    <n v="4796"/>
    <n v="427"/>
    <n v="339"/>
    <n v="30752"/>
    <n v="33870"/>
    <n v="298"/>
    <x v="0"/>
    <x v="0"/>
    <x v="0"/>
    <n v="0.18086628511966701"/>
    <d v="2025-01-10T00:00:00"/>
    <d v="2025-02-10T00:00:00"/>
    <x v="0"/>
  </r>
  <r>
    <s v="SP089"/>
    <x v="0"/>
    <x v="8"/>
    <x v="0"/>
    <s v="Wrapped is here! Relive your top tracks ðŸŽ§"/>
    <n v="2601"/>
    <n v="336"/>
    <n v="260"/>
    <n v="32368"/>
    <n v="49028"/>
    <n v="120"/>
    <x v="0"/>
    <x v="0"/>
    <x v="0"/>
    <n v="9.8770390509144837E-2"/>
    <d v="2025-01-10T00:00:00"/>
    <d v="2025-02-10T00:00:00"/>
    <x v="1"/>
  </r>
  <r>
    <s v="SP090"/>
    <x v="1"/>
    <x v="84"/>
    <x v="1"/>
    <s v="Wrapped is here! Relive your top tracks ðŸŽ§"/>
    <n v="3336"/>
    <n v="229"/>
    <n v="337"/>
    <n v="22117"/>
    <n v="26205"/>
    <n v="160"/>
    <x v="2"/>
    <x v="0"/>
    <x v="0"/>
    <n v="0.17642537414658407"/>
    <d v="2025-01-10T00:00:00"/>
    <d v="2025-02-10T00:00:00"/>
    <x v="1"/>
  </r>
  <r>
    <s v="SP091"/>
    <x v="1"/>
    <x v="85"/>
    <x v="0"/>
    <s v="Explore the latest podcasts now."/>
    <n v="1165"/>
    <n v="294"/>
    <n v="163"/>
    <n v="20659"/>
    <n v="45926"/>
    <n v="111"/>
    <x v="0"/>
    <x v="1"/>
    <x v="1"/>
    <n v="7.8512996756861422E-2"/>
    <d v="2025-03-01T00:00:00"/>
    <d v="2025-03-31T00:00:00"/>
    <x v="0"/>
  </r>
  <r>
    <s v="SP092"/>
    <x v="2"/>
    <x v="86"/>
    <x v="2"/>
    <s v="Explore the latest podcasts now."/>
    <n v="1948"/>
    <n v="155"/>
    <n v="315"/>
    <n v="30321"/>
    <n v="57121"/>
    <n v="82"/>
    <x v="1"/>
    <x v="4"/>
    <x v="3"/>
    <n v="7.974671020085089E-2"/>
    <d v="2024-06-15T00:00:00"/>
    <d v="2024-07-15T00:00:00"/>
    <x v="1"/>
  </r>
  <r>
    <s v="SP093"/>
    <x v="0"/>
    <x v="87"/>
    <x v="0"/>
    <s v="From pop to podcasts, itâ€™s all here."/>
    <n v="1100"/>
    <n v="229"/>
    <n v="312"/>
    <n v="25641"/>
    <n v="34601"/>
    <n v="169"/>
    <x v="1"/>
    <x v="1"/>
    <x v="1"/>
    <n v="6.3999063999063993E-2"/>
    <d v="2025-03-01T00:00:00"/>
    <d v="2025-03-31T00:00:00"/>
    <x v="1"/>
  </r>
  <r>
    <s v="SP094"/>
    <x v="1"/>
    <x v="88"/>
    <x v="1"/>
    <s v="Top trending tracks updated daily!"/>
    <n v="4628"/>
    <n v="257"/>
    <n v="397"/>
    <n v="36686"/>
    <n v="54683"/>
    <n v="98"/>
    <x v="0"/>
    <x v="0"/>
    <x v="0"/>
    <n v="0.1439786294499264"/>
    <d v="2025-01-10T00:00:00"/>
    <d v="2025-02-10T00:00:00"/>
    <x v="1"/>
  </r>
  <r>
    <s v="SP095"/>
    <x v="0"/>
    <x v="89"/>
    <x v="1"/>
    <s v="Discover fresh beats on Spotify!"/>
    <n v="2319"/>
    <n v="484"/>
    <n v="193"/>
    <n v="21202"/>
    <n v="18091"/>
    <n v="241"/>
    <x v="3"/>
    <x v="1"/>
    <x v="2"/>
    <n v="0.14130742382794076"/>
    <d v="2024-12-01T00:00:00"/>
    <d v="2024-12-31T00:00:00"/>
    <x v="1"/>
  </r>
  <r>
    <s v="SP096"/>
    <x v="1"/>
    <x v="90"/>
    <x v="1"/>
    <s v="Wrapped is here! Relive your top tracks ðŸŽ§"/>
    <n v="2895"/>
    <n v="292"/>
    <n v="90"/>
    <n v="24223"/>
    <n v="54626"/>
    <n v="114"/>
    <x v="0"/>
    <x v="0"/>
    <x v="0"/>
    <n v="0.13528464682326713"/>
    <d v="2025-01-10T00:00:00"/>
    <d v="2025-02-10T00:00:00"/>
    <x v="1"/>
  </r>
  <r>
    <s v="SP097"/>
    <x v="0"/>
    <x v="91"/>
    <x v="0"/>
    <s v="Whatâ€™s your vibe today? #SpotifyHits"/>
    <n v="3878"/>
    <n v="431"/>
    <n v="97"/>
    <n v="41763"/>
    <n v="29729"/>
    <n v="191"/>
    <x v="1"/>
    <x v="1"/>
    <x v="1"/>
    <n v="0.10550008380623997"/>
    <d v="2025-03-01T00:00:00"/>
    <d v="2025-03-31T00:00:00"/>
    <x v="1"/>
  </r>
  <r>
    <s v="SP098"/>
    <x v="1"/>
    <x v="92"/>
    <x v="1"/>
    <s v="Get into the groove with our new drop!"/>
    <n v="4969"/>
    <n v="433"/>
    <n v="237"/>
    <n v="59552"/>
    <n v="23885"/>
    <n v="157"/>
    <x v="1"/>
    <x v="3"/>
    <x v="0"/>
    <n v="9.4690354648038683E-2"/>
    <d v="2025-01-10T00:00:00"/>
    <d v="2025-02-10T00:00:00"/>
    <x v="1"/>
  </r>
  <r>
    <s v="SP099"/>
    <x v="1"/>
    <x v="93"/>
    <x v="0"/>
    <s v="Wrapped is here! Relive your top tracks ðŸŽ§"/>
    <n v="1984"/>
    <n v="481"/>
    <n v="356"/>
    <n v="40681"/>
    <n v="63111"/>
    <n v="258"/>
    <x v="3"/>
    <x v="1"/>
    <x v="0"/>
    <n v="6.934441139598338E-2"/>
    <d v="2025-01-10T00:00:00"/>
    <d v="2025-02-10T00:00:00"/>
    <x v="1"/>
  </r>
  <r>
    <s v="SP100"/>
    <x v="0"/>
    <x v="94"/>
    <x v="0"/>
    <s v="Discover fresh beats on Spotify!"/>
    <n v="3004"/>
    <n v="415"/>
    <n v="218"/>
    <n v="36090"/>
    <n v="37073"/>
    <n v="181"/>
    <x v="1"/>
    <x v="1"/>
    <x v="1"/>
    <n v="0.10077583818232197"/>
    <d v="2025-03-01T00:00:00"/>
    <d v="2025-03-31T00:00:00"/>
    <x v="1"/>
  </r>
  <r>
    <s v="SP101"/>
    <x v="1"/>
    <x v="95"/>
    <x v="0"/>
    <s v="Get into the groove with our new drop!"/>
    <n v="3169"/>
    <n v="386"/>
    <n v="175"/>
    <n v="45012"/>
    <n v="38508"/>
    <n v="218"/>
    <x v="3"/>
    <x v="1"/>
    <x v="0"/>
    <n v="8.2866791077934779E-2"/>
    <d v="2025-01-10T00:00:00"/>
    <d v="2025-02-10T00:00:00"/>
    <x v="1"/>
  </r>
  <r>
    <s v="SP102"/>
    <x v="1"/>
    <x v="96"/>
    <x v="0"/>
    <s v="Discover fresh beats on Spotify!"/>
    <n v="3036"/>
    <n v="293"/>
    <n v="115"/>
    <n v="23776"/>
    <n v="46386"/>
    <n v="282"/>
    <x v="3"/>
    <x v="1"/>
    <x v="0"/>
    <n v="0.14485195154777927"/>
    <d v="2025-01-10T00:00:00"/>
    <d v="2025-02-10T00:00:00"/>
    <x v="1"/>
  </r>
  <r>
    <s v="SP103"/>
    <x v="0"/>
    <x v="97"/>
    <x v="0"/>
    <s v="Music that moves youâ€”only on Spotify."/>
    <n v="1830"/>
    <n v="112"/>
    <n v="181"/>
    <n v="31870"/>
    <n v="55742"/>
    <n v="263"/>
    <x v="0"/>
    <x v="0"/>
    <x v="0"/>
    <n v="6.6614370881706936E-2"/>
    <d v="2025-01-10T00:00:00"/>
    <d v="2025-02-10T00:00:00"/>
    <x v="1"/>
  </r>
  <r>
    <s v="SP104"/>
    <x v="1"/>
    <x v="98"/>
    <x v="1"/>
    <s v="Whatâ€™s your vibe today? #SpotifyHits"/>
    <n v="2587"/>
    <n v="447"/>
    <n v="183"/>
    <n v="36266"/>
    <n v="32877"/>
    <n v="132"/>
    <x v="1"/>
    <x v="3"/>
    <x v="0"/>
    <n v="8.8705674736667947E-2"/>
    <d v="2025-01-10T00:00:00"/>
    <d v="2025-02-10T00:00:00"/>
    <x v="1"/>
  </r>
  <r>
    <s v="SP105"/>
    <x v="1"/>
    <x v="99"/>
    <x v="0"/>
    <s v="Discover fresh beats on Spotify!"/>
    <n v="2878"/>
    <n v="265"/>
    <n v="91"/>
    <n v="52090"/>
    <n v="28924"/>
    <n v="133"/>
    <x v="3"/>
    <x v="1"/>
    <x v="0"/>
    <n v="6.2084853138798232E-2"/>
    <d v="2025-01-10T00:00:00"/>
    <d v="2025-02-10T00:00:00"/>
    <x v="1"/>
  </r>
  <r>
    <s v="SP106"/>
    <x v="1"/>
    <x v="100"/>
    <x v="1"/>
    <s v="New music just dropped. Hit play!"/>
    <n v="4619"/>
    <n v="272"/>
    <n v="57"/>
    <n v="21334"/>
    <n v="46292"/>
    <n v="91"/>
    <x v="0"/>
    <x v="0"/>
    <x v="0"/>
    <n v="0.23193025217961938"/>
    <d v="2025-01-10T00:00:00"/>
    <d v="2025-02-10T00:00:00"/>
    <x v="2"/>
  </r>
  <r>
    <s v="SP107"/>
    <x v="1"/>
    <x v="101"/>
    <x v="0"/>
    <s v="Music that moves youâ€”only on Spotify."/>
    <n v="4090"/>
    <n v="209"/>
    <n v="278"/>
    <n v="52853"/>
    <n v="57084"/>
    <n v="102"/>
    <x v="0"/>
    <x v="1"/>
    <x v="1"/>
    <n v="8.6598679355949518E-2"/>
    <d v="2025-03-01T00:00:00"/>
    <d v="2025-03-31T00:00:00"/>
    <x v="1"/>
  </r>
  <r>
    <s v="SP108"/>
    <x v="2"/>
    <x v="102"/>
    <x v="2"/>
    <s v="Music that moves youâ€”only on Spotify."/>
    <n v="3882"/>
    <n v="342"/>
    <n v="374"/>
    <n v="41991"/>
    <n v="48554"/>
    <n v="118"/>
    <x v="1"/>
    <x v="4"/>
    <x v="3"/>
    <n v="0.10949965468790931"/>
    <d v="2024-06-15T00:00:00"/>
    <d v="2024-07-15T00:00:00"/>
    <x v="0"/>
  </r>
  <r>
    <s v="SP109"/>
    <x v="0"/>
    <x v="103"/>
    <x v="0"/>
    <s v="Music that moves youâ€”only on Spotify."/>
    <n v="4581"/>
    <n v="181"/>
    <n v="112"/>
    <n v="35221"/>
    <n v="28797"/>
    <n v="164"/>
    <x v="0"/>
    <x v="0"/>
    <x v="0"/>
    <n v="0.13838335084182732"/>
    <d v="2025-01-10T00:00:00"/>
    <d v="2025-02-10T00:00:00"/>
    <x v="1"/>
  </r>
  <r>
    <s v="SP110"/>
    <x v="0"/>
    <x v="104"/>
    <x v="0"/>
    <s v="New music just dropped. Hit play!"/>
    <n v="3253"/>
    <n v="483"/>
    <n v="336"/>
    <n v="25397"/>
    <n v="51485"/>
    <n v="131"/>
    <x v="1"/>
    <x v="1"/>
    <x v="1"/>
    <n v="0.16033389770445328"/>
    <d v="2025-03-01T00:00:00"/>
    <d v="2025-03-31T00:00:00"/>
    <x v="1"/>
  </r>
  <r>
    <s v="SP111"/>
    <x v="2"/>
    <x v="105"/>
    <x v="2"/>
    <s v="Music that moves youâ€”only on Spotify."/>
    <n v="4955"/>
    <n v="299"/>
    <n v="345"/>
    <n v="33644"/>
    <n v="43547"/>
    <n v="194"/>
    <x v="1"/>
    <x v="4"/>
    <x v="3"/>
    <n v="0.16641897515158721"/>
    <d v="2024-06-15T00:00:00"/>
    <d v="2024-07-15T00:00:00"/>
    <x v="0"/>
  </r>
  <r>
    <s v="SP112"/>
    <x v="0"/>
    <x v="106"/>
    <x v="0"/>
    <s v="Your weekend playlist is waiting."/>
    <n v="1333"/>
    <n v="286"/>
    <n v="298"/>
    <n v="36174"/>
    <n v="34517"/>
    <n v="170"/>
    <x v="0"/>
    <x v="0"/>
    <x v="0"/>
    <n v="5.2993862995521647E-2"/>
    <d v="2025-01-10T00:00:00"/>
    <d v="2025-02-10T00:00:00"/>
    <x v="0"/>
  </r>
  <r>
    <s v="SP113"/>
    <x v="0"/>
    <x v="107"/>
    <x v="0"/>
    <s v="New music just dropped. Hit play!"/>
    <n v="1616"/>
    <n v="360"/>
    <n v="180"/>
    <n v="54342"/>
    <n v="18796"/>
    <n v="282"/>
    <x v="0"/>
    <x v="0"/>
    <x v="0"/>
    <n v="3.9674653122814763E-2"/>
    <d v="2025-01-10T00:00:00"/>
    <d v="2025-02-10T00:00:00"/>
    <x v="1"/>
  </r>
  <r>
    <s v="SP114"/>
    <x v="1"/>
    <x v="108"/>
    <x v="0"/>
    <s v="Top trending tracks updated daily!"/>
    <n v="1803"/>
    <n v="273"/>
    <n v="287"/>
    <n v="46176"/>
    <n v="25488"/>
    <n v="141"/>
    <x v="3"/>
    <x v="1"/>
    <x v="0"/>
    <n v="5.1173769923769923E-2"/>
    <d v="2025-01-10T00:00:00"/>
    <d v="2025-02-10T00:00:00"/>
    <x v="1"/>
  </r>
  <r>
    <s v="SP115"/>
    <x v="0"/>
    <x v="109"/>
    <x v="0"/>
    <s v="Explore the latest podcasts now."/>
    <n v="4177"/>
    <n v="489"/>
    <n v="331"/>
    <n v="57451"/>
    <n v="73793"/>
    <n v="251"/>
    <x v="1"/>
    <x v="1"/>
    <x v="1"/>
    <n v="8.6978468608031198E-2"/>
    <d v="2025-03-01T00:00:00"/>
    <d v="2025-03-31T00:00:00"/>
    <x v="0"/>
  </r>
  <r>
    <s v="SP116"/>
    <x v="0"/>
    <x v="0"/>
    <x v="1"/>
    <s v="New music just dropped. Hit play!"/>
    <n v="1311"/>
    <n v="181"/>
    <n v="361"/>
    <n v="37148"/>
    <n v="44875"/>
    <n v="245"/>
    <x v="3"/>
    <x v="1"/>
    <x v="2"/>
    <n v="4.9881554861634543E-2"/>
    <d v="2024-12-01T00:00:00"/>
    <d v="2024-12-31T00:00:00"/>
    <x v="0"/>
  </r>
  <r>
    <s v="SP117"/>
    <x v="0"/>
    <x v="110"/>
    <x v="1"/>
    <s v="From pop to podcasts, itâ€™s all here."/>
    <n v="1516"/>
    <n v="215"/>
    <n v="332"/>
    <n v="58981"/>
    <n v="36118"/>
    <n v="211"/>
    <x v="3"/>
    <x v="1"/>
    <x v="2"/>
    <n v="3.4977365592309385E-2"/>
    <d v="2024-12-01T00:00:00"/>
    <d v="2024-12-31T00:00:00"/>
    <x v="1"/>
  </r>
  <r>
    <s v="SP118"/>
    <x v="1"/>
    <x v="111"/>
    <x v="1"/>
    <s v="Music that moves youâ€”only on Spotify."/>
    <n v="2023"/>
    <n v="124"/>
    <n v="99"/>
    <n v="54524"/>
    <n v="34790"/>
    <n v="195"/>
    <x v="1"/>
    <x v="3"/>
    <x v="0"/>
    <n v="4.1192869195216787E-2"/>
    <d v="2025-01-10T00:00:00"/>
    <d v="2025-02-10T00:00:00"/>
    <x v="1"/>
  </r>
  <r>
    <s v="SP119"/>
    <x v="1"/>
    <x v="112"/>
    <x v="1"/>
    <s v="Music that moves youâ€”only on Spotify."/>
    <n v="2134"/>
    <n v="322"/>
    <n v="114"/>
    <n v="44338"/>
    <n v="52165"/>
    <n v="176"/>
    <x v="2"/>
    <x v="0"/>
    <x v="0"/>
    <n v="5.7963823356939871E-2"/>
    <d v="2025-01-10T00:00:00"/>
    <d v="2025-02-10T00:00:00"/>
    <x v="0"/>
  </r>
  <r>
    <s v="SP120"/>
    <x v="0"/>
    <x v="113"/>
    <x v="0"/>
    <s v="Top trending tracks updated daily!"/>
    <n v="2266"/>
    <n v="126"/>
    <n v="140"/>
    <n v="53759"/>
    <n v="46834"/>
    <n v="277"/>
    <x v="1"/>
    <x v="1"/>
    <x v="1"/>
    <n v="4.7099090384865788E-2"/>
    <d v="2025-03-01T00:00:00"/>
    <d v="2025-03-31T00:00:00"/>
    <x v="1"/>
  </r>
  <r>
    <s v="SP121"/>
    <x v="0"/>
    <x v="114"/>
    <x v="1"/>
    <s v="New music just dropped. Hit play!"/>
    <n v="3916"/>
    <n v="459"/>
    <n v="229"/>
    <n v="48989"/>
    <n v="39768"/>
    <n v="200"/>
    <x v="3"/>
    <x v="1"/>
    <x v="2"/>
    <n v="9.3980281287635997E-2"/>
    <d v="2024-12-01T00:00:00"/>
    <d v="2024-12-31T00:00:00"/>
    <x v="0"/>
  </r>
  <r>
    <s v="SP122"/>
    <x v="1"/>
    <x v="115"/>
    <x v="1"/>
    <s v="Music that moves youâ€”only on Spotify."/>
    <n v="1022"/>
    <n v="463"/>
    <n v="360"/>
    <n v="51468"/>
    <n v="24279"/>
    <n v="230"/>
    <x v="1"/>
    <x v="3"/>
    <x v="0"/>
    <n v="3.5847516903707161E-2"/>
    <d v="2025-01-10T00:00:00"/>
    <d v="2025-02-10T00:00:00"/>
    <x v="1"/>
  </r>
  <r>
    <s v="SP123"/>
    <x v="2"/>
    <x v="116"/>
    <x v="0"/>
    <s v="From pop to podcasts, itâ€™s all here."/>
    <n v="2911"/>
    <n v="467"/>
    <n v="94"/>
    <n v="59083"/>
    <n v="49762"/>
    <n v="236"/>
    <x v="1"/>
    <x v="2"/>
    <x v="1"/>
    <n v="5.8764788517847777E-2"/>
    <d v="2025-03-01T00:00:00"/>
    <d v="2025-03-31T00:00:00"/>
    <x v="1"/>
  </r>
  <r>
    <s v="SP124"/>
    <x v="1"/>
    <x v="6"/>
    <x v="1"/>
    <s v="New music just dropped. Hit play!"/>
    <n v="3277"/>
    <n v="423"/>
    <n v="259"/>
    <n v="46328"/>
    <n v="44293"/>
    <n v="299"/>
    <x v="0"/>
    <x v="0"/>
    <x v="0"/>
    <n v="8.5455879813503707E-2"/>
    <d v="2025-01-10T00:00:00"/>
    <d v="2025-02-10T00:00:00"/>
    <x v="1"/>
  </r>
  <r>
    <s v="SP125"/>
    <x v="1"/>
    <x v="117"/>
    <x v="0"/>
    <s v="From pop to podcasts, itâ€™s all here."/>
    <n v="2956"/>
    <n v="381"/>
    <n v="345"/>
    <n v="33347"/>
    <n v="22558"/>
    <n v="173"/>
    <x v="3"/>
    <x v="1"/>
    <x v="0"/>
    <n v="0.11041472996071611"/>
    <d v="2025-01-10T00:00:00"/>
    <d v="2025-02-10T00:00:00"/>
    <x v="1"/>
  </r>
  <r>
    <s v="SP126"/>
    <x v="1"/>
    <x v="118"/>
    <x v="1"/>
    <s v="Whatâ€™s your vibe today? #SpotifyHits"/>
    <n v="3208"/>
    <n v="476"/>
    <n v="277"/>
    <n v="56072"/>
    <n v="21061"/>
    <n v="113"/>
    <x v="2"/>
    <x v="0"/>
    <x v="0"/>
    <n v="7.064131830503638E-2"/>
    <d v="2025-01-10T00:00:00"/>
    <d v="2025-02-10T00:00:00"/>
    <x v="1"/>
  </r>
  <r>
    <s v="SP127"/>
    <x v="1"/>
    <x v="119"/>
    <x v="0"/>
    <s v="Music that moves youâ€”only on Spotify."/>
    <n v="1456"/>
    <n v="265"/>
    <n v="137"/>
    <n v="53485"/>
    <n v="59729"/>
    <n v="145"/>
    <x v="0"/>
    <x v="1"/>
    <x v="1"/>
    <n v="3.4738711788351875E-2"/>
    <d v="2025-03-01T00:00:00"/>
    <d v="2025-03-31T00:00:00"/>
    <x v="1"/>
  </r>
  <r>
    <s v="SP128"/>
    <x v="0"/>
    <x v="120"/>
    <x v="0"/>
    <s v="New music just dropped. Hit play!"/>
    <n v="1902"/>
    <n v="394"/>
    <n v="279"/>
    <n v="24615"/>
    <n v="51330"/>
    <n v="176"/>
    <x v="0"/>
    <x v="0"/>
    <x v="0"/>
    <n v="0.10461100954702417"/>
    <d v="2025-01-10T00:00:00"/>
    <d v="2025-02-10T00:00:00"/>
    <x v="1"/>
  </r>
  <r>
    <s v="SP129"/>
    <x v="1"/>
    <x v="121"/>
    <x v="1"/>
    <s v="Explore the latest podcasts now."/>
    <n v="3219"/>
    <n v="424"/>
    <n v="267"/>
    <n v="48879"/>
    <n v="37691"/>
    <n v="224"/>
    <x v="1"/>
    <x v="3"/>
    <x v="0"/>
    <n v="7.9993453221219743E-2"/>
    <d v="2025-01-10T00:00:00"/>
    <d v="2025-02-10T00:00:00"/>
    <x v="0"/>
  </r>
  <r>
    <s v="SP130"/>
    <x v="2"/>
    <x v="122"/>
    <x v="0"/>
    <s v="Explore the latest podcasts now."/>
    <n v="1261"/>
    <n v="190"/>
    <n v="233"/>
    <n v="59888"/>
    <n v="51449"/>
    <n v="205"/>
    <x v="1"/>
    <x v="2"/>
    <x v="1"/>
    <n v="2.811915575741384E-2"/>
    <d v="2025-03-01T00:00:00"/>
    <d v="2025-03-31T00:00:00"/>
    <x v="1"/>
  </r>
  <r>
    <s v="SP131"/>
    <x v="1"/>
    <x v="123"/>
    <x v="0"/>
    <s v="Your weekend playlist is waiting."/>
    <n v="1564"/>
    <n v="362"/>
    <n v="371"/>
    <n v="42075"/>
    <n v="66659"/>
    <n v="205"/>
    <x v="0"/>
    <x v="1"/>
    <x v="1"/>
    <n v="5.4592988710635768E-2"/>
    <d v="2025-03-01T00:00:00"/>
    <d v="2025-03-31T00:00:00"/>
    <x v="2"/>
  </r>
  <r>
    <s v="SP132"/>
    <x v="1"/>
    <x v="124"/>
    <x v="0"/>
    <s v="Whatâ€™s your vibe today? #SpotifyHits"/>
    <n v="4006"/>
    <n v="420"/>
    <n v="194"/>
    <n v="49964"/>
    <n v="20685"/>
    <n v="148"/>
    <x v="3"/>
    <x v="1"/>
    <x v="0"/>
    <n v="9.2466575934672959E-2"/>
    <d v="2025-01-10T00:00:00"/>
    <d v="2025-02-10T00:00:00"/>
    <x v="1"/>
  </r>
  <r>
    <s v="SP133"/>
    <x v="2"/>
    <x v="125"/>
    <x v="0"/>
    <s v="Your weekend playlist is waiting."/>
    <n v="1976"/>
    <n v="262"/>
    <n v="218"/>
    <n v="51696"/>
    <n v="44846"/>
    <n v="139"/>
    <x v="1"/>
    <x v="2"/>
    <x v="1"/>
    <n v="4.7508511296812134E-2"/>
    <d v="2025-03-01T00:00:00"/>
    <d v="2025-03-31T00:00:00"/>
    <x v="1"/>
  </r>
  <r>
    <s v="SP134"/>
    <x v="1"/>
    <x v="126"/>
    <x v="0"/>
    <s v="New music just dropped. Hit play!"/>
    <n v="1583"/>
    <n v="433"/>
    <n v="249"/>
    <n v="30256"/>
    <n v="47066"/>
    <n v="196"/>
    <x v="3"/>
    <x v="1"/>
    <x v="0"/>
    <n v="7.4861184558434685E-2"/>
    <d v="2025-01-10T00:00:00"/>
    <d v="2025-02-10T00:00:00"/>
    <x v="0"/>
  </r>
  <r>
    <s v="SP135"/>
    <x v="1"/>
    <x v="127"/>
    <x v="1"/>
    <s v="Explore the latest podcasts now."/>
    <n v="2870"/>
    <n v="380"/>
    <n v="393"/>
    <n v="37621"/>
    <n v="71794"/>
    <n v="127"/>
    <x v="2"/>
    <x v="0"/>
    <x v="0"/>
    <n v="9.6834214933149046E-2"/>
    <d v="2025-01-10T00:00:00"/>
    <d v="2025-02-10T00:00:00"/>
    <x v="1"/>
  </r>
  <r>
    <s v="SP136"/>
    <x v="1"/>
    <x v="128"/>
    <x v="0"/>
    <s v="Top trending tracks updated daily!"/>
    <n v="3728"/>
    <n v="271"/>
    <n v="275"/>
    <n v="22827"/>
    <n v="37034"/>
    <n v="199"/>
    <x v="3"/>
    <x v="1"/>
    <x v="0"/>
    <n v="0.18723441538528934"/>
    <d v="2025-01-10T00:00:00"/>
    <d v="2025-02-10T00:00:00"/>
    <x v="1"/>
  </r>
  <r>
    <s v="SP137"/>
    <x v="1"/>
    <x v="129"/>
    <x v="1"/>
    <s v="New music just dropped. Hit play!"/>
    <n v="4965"/>
    <n v="175"/>
    <n v="307"/>
    <n v="32793"/>
    <n v="43412"/>
    <n v="296"/>
    <x v="0"/>
    <x v="0"/>
    <x v="0"/>
    <n v="0.16610252187966945"/>
    <d v="2025-01-10T00:00:00"/>
    <d v="2025-02-10T00:00:00"/>
    <x v="1"/>
  </r>
  <r>
    <s v="SP138"/>
    <x v="1"/>
    <x v="130"/>
    <x v="1"/>
    <s v="New music just dropped. Hit play!"/>
    <n v="1131"/>
    <n v="100"/>
    <n v="116"/>
    <n v="48437"/>
    <n v="72704"/>
    <n v="236"/>
    <x v="1"/>
    <x v="3"/>
    <x v="0"/>
    <n v="2.7809319322005904E-2"/>
    <d v="2025-01-10T00:00:00"/>
    <d v="2025-02-10T00:00:00"/>
    <x v="1"/>
  </r>
  <r>
    <s v="SP139"/>
    <x v="1"/>
    <x v="131"/>
    <x v="0"/>
    <s v="Your weekend playlist is waiting."/>
    <n v="2754"/>
    <n v="215"/>
    <n v="264"/>
    <n v="27762"/>
    <n v="70203"/>
    <n v="289"/>
    <x v="3"/>
    <x v="1"/>
    <x v="0"/>
    <n v="0.11645414595490239"/>
    <d v="2025-01-10T00:00:00"/>
    <d v="2025-02-10T00:00:00"/>
    <x v="0"/>
  </r>
  <r>
    <s v="SP140"/>
    <x v="1"/>
    <x v="132"/>
    <x v="1"/>
    <s v="New music just dropped. Hit play!"/>
    <n v="1856"/>
    <n v="357"/>
    <n v="348"/>
    <n v="29428"/>
    <n v="70206"/>
    <n v="236"/>
    <x v="2"/>
    <x v="0"/>
    <x v="0"/>
    <n v="8.702596166915863E-2"/>
    <d v="2025-01-10T00:00:00"/>
    <d v="2025-02-10T00:00:00"/>
    <x v="1"/>
  </r>
  <r>
    <s v="SP141"/>
    <x v="2"/>
    <x v="133"/>
    <x v="2"/>
    <s v="Explore the latest podcasts now."/>
    <n v="3543"/>
    <n v="334"/>
    <n v="218"/>
    <n v="58007"/>
    <n v="24792"/>
    <n v="273"/>
    <x v="1"/>
    <x v="4"/>
    <x v="3"/>
    <n v="7.0594928198320889E-2"/>
    <d v="2024-06-15T00:00:00"/>
    <d v="2024-07-15T00:00:00"/>
    <x v="0"/>
  </r>
  <r>
    <s v="SP142"/>
    <x v="0"/>
    <x v="134"/>
    <x v="1"/>
    <s v="New music just dropped. Hit play!"/>
    <n v="4563"/>
    <n v="398"/>
    <n v="163"/>
    <n v="43679"/>
    <n v="48760"/>
    <n v="92"/>
    <x v="3"/>
    <x v="1"/>
    <x v="2"/>
    <n v="0.11731037798484398"/>
    <d v="2024-12-01T00:00:00"/>
    <d v="2024-12-31T00:00:00"/>
    <x v="2"/>
  </r>
  <r>
    <s v="SP143"/>
    <x v="0"/>
    <x v="135"/>
    <x v="0"/>
    <s v="Discover fresh beats on Spotify!"/>
    <n v="4283"/>
    <n v="471"/>
    <n v="156"/>
    <n v="53004"/>
    <n v="25678"/>
    <n v="105"/>
    <x v="1"/>
    <x v="1"/>
    <x v="1"/>
    <n v="9.2634518149573616E-2"/>
    <d v="2025-03-01T00:00:00"/>
    <d v="2025-03-31T00:00:00"/>
    <x v="1"/>
  </r>
  <r>
    <s v="SP144"/>
    <x v="0"/>
    <x v="40"/>
    <x v="0"/>
    <s v="Discover fresh beats on Spotify!"/>
    <n v="2329"/>
    <n v="373"/>
    <n v="291"/>
    <n v="49577"/>
    <n v="28002"/>
    <n v="82"/>
    <x v="0"/>
    <x v="0"/>
    <x v="0"/>
    <n v="6.0370736430199488E-2"/>
    <d v="2025-01-10T00:00:00"/>
    <d v="2025-02-10T00:00:00"/>
    <x v="0"/>
  </r>
  <r>
    <s v="SP145"/>
    <x v="1"/>
    <x v="73"/>
    <x v="1"/>
    <s v="Top trending tracks updated daily!"/>
    <n v="4287"/>
    <n v="273"/>
    <n v="122"/>
    <n v="40792"/>
    <n v="23878"/>
    <n v="277"/>
    <x v="2"/>
    <x v="0"/>
    <x v="0"/>
    <n v="0.11477740733477153"/>
    <d v="2025-01-10T00:00:00"/>
    <d v="2025-02-10T00:00:00"/>
    <x v="0"/>
  </r>
  <r>
    <s v="SP146"/>
    <x v="0"/>
    <x v="136"/>
    <x v="0"/>
    <s v="Discover fresh beats on Spotify!"/>
    <n v="2633"/>
    <n v="318"/>
    <n v="380"/>
    <n v="40869"/>
    <n v="64474"/>
    <n v="245"/>
    <x v="1"/>
    <x v="1"/>
    <x v="1"/>
    <n v="8.1504318676747664E-2"/>
    <d v="2025-03-01T00:00:00"/>
    <d v="2025-03-31T00:00:00"/>
    <x v="0"/>
  </r>
  <r>
    <s v="SP147"/>
    <x v="1"/>
    <x v="137"/>
    <x v="1"/>
    <s v="Discover fresh beats on Spotify!"/>
    <n v="2383"/>
    <n v="136"/>
    <n v="302"/>
    <n v="39187"/>
    <n v="22133"/>
    <n v="208"/>
    <x v="2"/>
    <x v="0"/>
    <x v="0"/>
    <n v="7.1988159338556151E-2"/>
    <d v="2025-01-10T00:00:00"/>
    <d v="2025-02-10T00:00:00"/>
    <x v="1"/>
  </r>
  <r>
    <s v="SP148"/>
    <x v="1"/>
    <x v="138"/>
    <x v="1"/>
    <s v="Your weekend playlist is waiting."/>
    <n v="4752"/>
    <n v="334"/>
    <n v="56"/>
    <n v="48017"/>
    <n v="55534"/>
    <n v="270"/>
    <x v="1"/>
    <x v="3"/>
    <x v="0"/>
    <n v="0.10708707332819627"/>
    <d v="2025-01-10T00:00:00"/>
    <d v="2025-02-10T00:00:00"/>
    <x v="2"/>
  </r>
  <r>
    <s v="SP149"/>
    <x v="1"/>
    <x v="139"/>
    <x v="0"/>
    <s v="From pop to podcasts, itâ€™s all here."/>
    <n v="3890"/>
    <n v="408"/>
    <n v="338"/>
    <n v="56994"/>
    <n v="32621"/>
    <n v="286"/>
    <x v="0"/>
    <x v="1"/>
    <x v="1"/>
    <n v="8.1341895638137346E-2"/>
    <d v="2025-03-01T00:00:00"/>
    <d v="2025-03-31T00:00:00"/>
    <x v="0"/>
  </r>
  <r>
    <s v="SP150"/>
    <x v="1"/>
    <x v="140"/>
    <x v="1"/>
    <s v="Your weekend playlist is waiting."/>
    <n v="2311"/>
    <n v="207"/>
    <n v="363"/>
    <n v="30349"/>
    <n v="32925"/>
    <n v="88"/>
    <x v="2"/>
    <x v="0"/>
    <x v="0"/>
    <n v="9.4928992718046723E-2"/>
    <d v="2025-01-10T00:00:00"/>
    <d v="2025-02-10T00:00:00"/>
    <x v="1"/>
  </r>
  <r>
    <s v="SP151"/>
    <x v="0"/>
    <x v="50"/>
    <x v="1"/>
    <s v="Discover fresh beats on Spotify!"/>
    <n v="2962"/>
    <n v="400"/>
    <n v="280"/>
    <n v="52508"/>
    <n v="58329"/>
    <n v="219"/>
    <x v="3"/>
    <x v="1"/>
    <x v="2"/>
    <n v="6.9360859297630834E-2"/>
    <d v="2024-12-01T00:00:00"/>
    <d v="2024-12-31T00:00:00"/>
    <x v="1"/>
  </r>
  <r>
    <s v="SP152"/>
    <x v="0"/>
    <x v="141"/>
    <x v="0"/>
    <s v="Discover fresh beats on Spotify!"/>
    <n v="3118"/>
    <n v="116"/>
    <n v="195"/>
    <n v="37100"/>
    <n v="62629"/>
    <n v="272"/>
    <x v="1"/>
    <x v="1"/>
    <x v="1"/>
    <n v="9.2425876010781671E-2"/>
    <d v="2025-03-01T00:00:00"/>
    <d v="2025-03-31T00:00:00"/>
    <x v="1"/>
  </r>
  <r>
    <s v="SP153"/>
    <x v="1"/>
    <x v="142"/>
    <x v="1"/>
    <s v="Explore the latest podcasts now."/>
    <n v="3805"/>
    <n v="453"/>
    <n v="63"/>
    <n v="52395"/>
    <n v="72934"/>
    <n v="87"/>
    <x v="1"/>
    <x v="3"/>
    <x v="0"/>
    <n v="8.2469701307376658E-2"/>
    <d v="2025-01-10T00:00:00"/>
    <d v="2025-02-10T00:00:00"/>
    <x v="0"/>
  </r>
  <r>
    <s v="SP154"/>
    <x v="0"/>
    <x v="128"/>
    <x v="0"/>
    <s v="Whatâ€™s your vibe today? #SpotifyHits"/>
    <n v="2525"/>
    <n v="272"/>
    <n v="294"/>
    <n v="51875"/>
    <n v="24732"/>
    <n v="92"/>
    <x v="1"/>
    <x v="1"/>
    <x v="1"/>
    <n v="5.9585542168674697E-2"/>
    <d v="2025-03-01T00:00:00"/>
    <d v="2025-03-31T00:00:00"/>
    <x v="1"/>
  </r>
  <r>
    <s v="SP155"/>
    <x v="0"/>
    <x v="143"/>
    <x v="0"/>
    <s v="Music that moves youâ€”only on Spotify."/>
    <n v="3563"/>
    <n v="483"/>
    <n v="227"/>
    <n v="41085"/>
    <n v="26393"/>
    <n v="236"/>
    <x v="0"/>
    <x v="0"/>
    <x v="0"/>
    <n v="0.10400389436534015"/>
    <d v="2025-01-10T00:00:00"/>
    <d v="2025-02-10T00:00:00"/>
    <x v="1"/>
  </r>
  <r>
    <s v="SP156"/>
    <x v="2"/>
    <x v="144"/>
    <x v="2"/>
    <s v="Whatâ€™s your vibe today? #SpotifyHits"/>
    <n v="1437"/>
    <n v="494"/>
    <n v="129"/>
    <n v="53048"/>
    <n v="44090"/>
    <n v="230"/>
    <x v="1"/>
    <x v="4"/>
    <x v="3"/>
    <n v="3.8832755240536872E-2"/>
    <d v="2024-06-15T00:00:00"/>
    <d v="2024-07-15T00:00:00"/>
    <x v="0"/>
  </r>
  <r>
    <s v="SP157"/>
    <x v="2"/>
    <x v="145"/>
    <x v="0"/>
    <s v="From pop to podcasts, itâ€™s all here."/>
    <n v="4425"/>
    <n v="185"/>
    <n v="162"/>
    <n v="24610"/>
    <n v="21342"/>
    <n v="158"/>
    <x v="1"/>
    <x v="2"/>
    <x v="1"/>
    <n v="0.19390491670052823"/>
    <d v="2025-03-01T00:00:00"/>
    <d v="2025-03-31T00:00:00"/>
    <x v="2"/>
  </r>
  <r>
    <s v="SP158"/>
    <x v="1"/>
    <x v="146"/>
    <x v="1"/>
    <s v="New music just dropped. Hit play!"/>
    <n v="4609"/>
    <n v="427"/>
    <n v="395"/>
    <n v="33698"/>
    <n v="29259"/>
    <n v="216"/>
    <x v="1"/>
    <x v="3"/>
    <x v="0"/>
    <n v="0.16116683482699271"/>
    <d v="2025-01-10T00:00:00"/>
    <d v="2025-02-10T00:00:00"/>
    <x v="0"/>
  </r>
  <r>
    <s v="SP159"/>
    <x v="0"/>
    <x v="147"/>
    <x v="1"/>
    <s v="Get into the groove with our new drop!"/>
    <n v="1558"/>
    <n v="352"/>
    <n v="202"/>
    <n v="25405"/>
    <n v="69941"/>
    <n v="219"/>
    <x v="3"/>
    <x v="1"/>
    <x v="2"/>
    <n v="8.3133241487896081E-2"/>
    <d v="2024-12-01T00:00:00"/>
    <d v="2024-12-31T00:00:00"/>
    <x v="1"/>
  </r>
  <r>
    <s v="SP160"/>
    <x v="2"/>
    <x v="148"/>
    <x v="2"/>
    <s v="Top trending tracks updated daily!"/>
    <n v="1889"/>
    <n v="298"/>
    <n v="122"/>
    <n v="46225"/>
    <n v="74305"/>
    <n v="293"/>
    <x v="1"/>
    <x v="4"/>
    <x v="3"/>
    <n v="4.9951325040562468E-2"/>
    <d v="2024-06-15T00:00:00"/>
    <d v="2024-07-15T00:00:00"/>
    <x v="1"/>
  </r>
  <r>
    <s v="SP161"/>
    <x v="0"/>
    <x v="149"/>
    <x v="0"/>
    <s v="Discover fresh beats on Spotify!"/>
    <n v="3086"/>
    <n v="148"/>
    <n v="310"/>
    <n v="22824"/>
    <n v="58103"/>
    <n v="275"/>
    <x v="1"/>
    <x v="1"/>
    <x v="1"/>
    <n v="0.1552751489660007"/>
    <d v="2025-03-01T00:00:00"/>
    <d v="2025-03-31T00:00:00"/>
    <x v="0"/>
  </r>
  <r>
    <s v="SP162"/>
    <x v="0"/>
    <x v="150"/>
    <x v="0"/>
    <s v="Music that moves youâ€”only on Spotify."/>
    <n v="2422"/>
    <n v="318"/>
    <n v="118"/>
    <n v="25386"/>
    <n v="20873"/>
    <n v="100"/>
    <x v="0"/>
    <x v="0"/>
    <x v="0"/>
    <n v="0.11258173796580792"/>
    <d v="2025-01-10T00:00:00"/>
    <d v="2025-02-10T00:00:00"/>
    <x v="1"/>
  </r>
  <r>
    <s v="SP163"/>
    <x v="2"/>
    <x v="151"/>
    <x v="2"/>
    <s v="From pop to podcasts, itâ€™s all here."/>
    <n v="3414"/>
    <n v="154"/>
    <n v="204"/>
    <n v="34146"/>
    <n v="44633"/>
    <n v="256"/>
    <x v="1"/>
    <x v="4"/>
    <x v="3"/>
    <n v="0.11046681895390383"/>
    <d v="2024-06-15T00:00:00"/>
    <d v="2024-07-15T00:00:00"/>
    <x v="0"/>
  </r>
  <r>
    <s v="SP164"/>
    <x v="0"/>
    <x v="152"/>
    <x v="1"/>
    <s v="Whatâ€™s your vibe today? #SpotifyHits"/>
    <n v="1342"/>
    <n v="332"/>
    <n v="163"/>
    <n v="51712"/>
    <n v="57922"/>
    <n v="168"/>
    <x v="3"/>
    <x v="1"/>
    <x v="2"/>
    <n v="3.5523669554455448E-2"/>
    <d v="2024-12-01T00:00:00"/>
    <d v="2024-12-31T00:00:00"/>
    <x v="0"/>
  </r>
  <r>
    <s v="SP165"/>
    <x v="0"/>
    <x v="52"/>
    <x v="1"/>
    <s v="Music that moves youâ€”only on Spotify."/>
    <n v="2414"/>
    <n v="220"/>
    <n v="280"/>
    <n v="27355"/>
    <n v="50562"/>
    <n v="258"/>
    <x v="3"/>
    <x v="1"/>
    <x v="2"/>
    <n v="0.10652531529884847"/>
    <d v="2024-12-01T00:00:00"/>
    <d v="2024-12-31T00:00:00"/>
    <x v="1"/>
  </r>
  <r>
    <s v="SP166"/>
    <x v="0"/>
    <x v="129"/>
    <x v="0"/>
    <s v="New music just dropped. Hit play!"/>
    <n v="4383"/>
    <n v="352"/>
    <n v="176"/>
    <n v="53239"/>
    <n v="34168"/>
    <n v="288"/>
    <x v="1"/>
    <x v="1"/>
    <x v="1"/>
    <n v="9.2244407295403744E-2"/>
    <d v="2025-03-01T00:00:00"/>
    <d v="2025-03-31T00:00:00"/>
    <x v="1"/>
  </r>
  <r>
    <s v="SP167"/>
    <x v="2"/>
    <x v="153"/>
    <x v="0"/>
    <s v="Wrapped is here! Relive your top tracks ðŸŽ§"/>
    <n v="4294"/>
    <n v="423"/>
    <n v="93"/>
    <n v="29828"/>
    <n v="73144"/>
    <n v="298"/>
    <x v="1"/>
    <x v="2"/>
    <x v="1"/>
    <n v="0.1612578785034196"/>
    <d v="2025-03-01T00:00:00"/>
    <d v="2025-03-31T00:00:00"/>
    <x v="1"/>
  </r>
  <r>
    <s v="SP168"/>
    <x v="0"/>
    <x v="154"/>
    <x v="0"/>
    <s v="Top trending tracks updated daily!"/>
    <n v="2762"/>
    <n v="339"/>
    <n v="323"/>
    <n v="33757"/>
    <n v="68511"/>
    <n v="121"/>
    <x v="0"/>
    <x v="0"/>
    <x v="0"/>
    <n v="0.10143081434961637"/>
    <d v="2025-01-10T00:00:00"/>
    <d v="2025-02-10T00:00:00"/>
    <x v="1"/>
  </r>
  <r>
    <s v="SP169"/>
    <x v="2"/>
    <x v="79"/>
    <x v="0"/>
    <s v="New music just dropped. Hit play!"/>
    <n v="3782"/>
    <n v="484"/>
    <n v="144"/>
    <n v="52172"/>
    <n v="59386"/>
    <n v="175"/>
    <x v="1"/>
    <x v="2"/>
    <x v="1"/>
    <n v="8.4528099363643333E-2"/>
    <d v="2025-03-01T00:00:00"/>
    <d v="2025-03-31T00:00:00"/>
    <x v="1"/>
  </r>
  <r>
    <s v="SP170"/>
    <x v="1"/>
    <x v="155"/>
    <x v="0"/>
    <s v="New music just dropped. Hit play!"/>
    <n v="4318"/>
    <n v="371"/>
    <n v="329"/>
    <n v="32347"/>
    <n v="68956"/>
    <n v="259"/>
    <x v="0"/>
    <x v="1"/>
    <x v="1"/>
    <n v="0.15513030574705536"/>
    <d v="2025-03-01T00:00:00"/>
    <d v="2025-03-31T00:00:00"/>
    <x v="1"/>
  </r>
  <r>
    <s v="SP171"/>
    <x v="0"/>
    <x v="156"/>
    <x v="1"/>
    <s v="Wrapped is here! Relive your top tracks ðŸŽ§"/>
    <n v="2335"/>
    <n v="150"/>
    <n v="75"/>
    <n v="26114"/>
    <n v="57549"/>
    <n v="135"/>
    <x v="3"/>
    <x v="1"/>
    <x v="2"/>
    <n v="9.8031707130274953E-2"/>
    <d v="2024-12-01T00:00:00"/>
    <d v="2024-12-31T00:00:00"/>
    <x v="1"/>
  </r>
  <r>
    <s v="SP172"/>
    <x v="2"/>
    <x v="157"/>
    <x v="0"/>
    <s v="Explore the latest podcasts now."/>
    <n v="4023"/>
    <n v="293"/>
    <n v="91"/>
    <n v="26795"/>
    <n v="28924"/>
    <n v="278"/>
    <x v="1"/>
    <x v="2"/>
    <x v="1"/>
    <n v="0.16447098339242397"/>
    <d v="2025-03-01T00:00:00"/>
    <d v="2025-03-31T00:00:00"/>
    <x v="1"/>
  </r>
  <r>
    <s v="SP173"/>
    <x v="0"/>
    <x v="158"/>
    <x v="0"/>
    <s v="Get into the groove with our new drop!"/>
    <n v="3948"/>
    <n v="151"/>
    <n v="249"/>
    <n v="43147"/>
    <n v="63136"/>
    <n v="230"/>
    <x v="1"/>
    <x v="1"/>
    <x v="1"/>
    <n v="0.10077178019329269"/>
    <d v="2025-03-01T00:00:00"/>
    <d v="2025-03-31T00:00:00"/>
    <x v="1"/>
  </r>
  <r>
    <s v="SP174"/>
    <x v="2"/>
    <x v="159"/>
    <x v="0"/>
    <s v="Wrapped is here! Relive your top tracks ðŸŽ§"/>
    <n v="4598"/>
    <n v="455"/>
    <n v="378"/>
    <n v="52952"/>
    <n v="58504"/>
    <n v="269"/>
    <x v="1"/>
    <x v="2"/>
    <x v="1"/>
    <n v="0.10256458679558846"/>
    <d v="2025-03-01T00:00:00"/>
    <d v="2025-03-31T00:00:00"/>
    <x v="0"/>
  </r>
  <r>
    <s v="SP175"/>
    <x v="1"/>
    <x v="160"/>
    <x v="1"/>
    <s v="Music that moves youâ€”only on Spotify."/>
    <n v="2665"/>
    <n v="143"/>
    <n v="315"/>
    <n v="54808"/>
    <n v="29818"/>
    <n v="98"/>
    <x v="1"/>
    <x v="3"/>
    <x v="0"/>
    <n v="5.6980732739746021E-2"/>
    <d v="2025-01-10T00:00:00"/>
    <d v="2025-02-10T00:00:00"/>
    <x v="0"/>
  </r>
  <r>
    <s v="SP176"/>
    <x v="0"/>
    <x v="161"/>
    <x v="0"/>
    <s v="Top trending tracks updated daily!"/>
    <n v="3469"/>
    <n v="371"/>
    <n v="76"/>
    <n v="46493"/>
    <n v="26906"/>
    <n v="150"/>
    <x v="0"/>
    <x v="0"/>
    <x v="0"/>
    <n v="8.4227733207149463E-2"/>
    <d v="2025-01-10T00:00:00"/>
    <d v="2025-02-10T00:00:00"/>
    <x v="1"/>
  </r>
  <r>
    <s v="SP177"/>
    <x v="1"/>
    <x v="162"/>
    <x v="0"/>
    <s v="Explore the latest podcasts now."/>
    <n v="4823"/>
    <n v="489"/>
    <n v="302"/>
    <n v="32470"/>
    <n v="31861"/>
    <n v="178"/>
    <x v="0"/>
    <x v="1"/>
    <x v="1"/>
    <n v="0.1728980597474592"/>
    <d v="2025-03-01T00:00:00"/>
    <d v="2025-03-31T00:00:00"/>
    <x v="1"/>
  </r>
  <r>
    <s v="SP178"/>
    <x v="0"/>
    <x v="163"/>
    <x v="1"/>
    <s v="From pop to podcasts, itâ€™s all here."/>
    <n v="3812"/>
    <n v="321"/>
    <n v="289"/>
    <n v="59838"/>
    <n v="36337"/>
    <n v="161"/>
    <x v="3"/>
    <x v="1"/>
    <x v="2"/>
    <n v="7.3899528727564417E-2"/>
    <d v="2024-12-01T00:00:00"/>
    <d v="2024-12-31T00:00:00"/>
    <x v="2"/>
  </r>
  <r>
    <s v="SP179"/>
    <x v="1"/>
    <x v="128"/>
    <x v="0"/>
    <s v="Explore the latest podcasts now."/>
    <n v="2387"/>
    <n v="353"/>
    <n v="78"/>
    <n v="39745"/>
    <n v="69226"/>
    <n v="208"/>
    <x v="0"/>
    <x v="1"/>
    <x v="1"/>
    <n v="7.090200025160398E-2"/>
    <d v="2025-03-01T00:00:00"/>
    <d v="2025-03-31T00:00:00"/>
    <x v="1"/>
  </r>
  <r>
    <s v="SP180"/>
    <x v="1"/>
    <x v="114"/>
    <x v="1"/>
    <s v="Wrapped is here! Relive your top tracks ðŸŽ§"/>
    <n v="3929"/>
    <n v="275"/>
    <n v="330"/>
    <n v="58329"/>
    <n v="33196"/>
    <n v="85"/>
    <x v="2"/>
    <x v="0"/>
    <x v="0"/>
    <n v="7.7731488624869283E-2"/>
    <d v="2025-01-10T00:00:00"/>
    <d v="2025-02-10T00:00:00"/>
    <x v="0"/>
  </r>
  <r>
    <s v="SP181"/>
    <x v="1"/>
    <x v="164"/>
    <x v="0"/>
    <s v="From pop to podcasts, itâ€™s all here."/>
    <n v="2191"/>
    <n v="288"/>
    <n v="83"/>
    <n v="59606"/>
    <n v="24765"/>
    <n v="281"/>
    <x v="0"/>
    <x v="1"/>
    <x v="1"/>
    <n v="4.2982250109049422E-2"/>
    <d v="2025-03-01T00:00:00"/>
    <d v="2025-03-31T00:00:00"/>
    <x v="1"/>
  </r>
  <r>
    <s v="SP182"/>
    <x v="0"/>
    <x v="164"/>
    <x v="0"/>
    <s v="From pop to podcasts, itâ€™s all here."/>
    <n v="2878"/>
    <n v="278"/>
    <n v="255"/>
    <n v="47235"/>
    <n v="57922"/>
    <n v="112"/>
    <x v="0"/>
    <x v="0"/>
    <x v="0"/>
    <n v="7.2213401079707848E-2"/>
    <d v="2025-01-10T00:00:00"/>
    <d v="2025-02-10T00:00:00"/>
    <x v="1"/>
  </r>
  <r>
    <s v="SP183"/>
    <x v="1"/>
    <x v="165"/>
    <x v="0"/>
    <s v="Top trending tracks updated daily!"/>
    <n v="3204"/>
    <n v="398"/>
    <n v="85"/>
    <n v="22020"/>
    <n v="58353"/>
    <n v="286"/>
    <x v="0"/>
    <x v="1"/>
    <x v="1"/>
    <n v="0.16743869209809265"/>
    <d v="2025-03-01T00:00:00"/>
    <d v="2025-03-31T00:00:00"/>
    <x v="1"/>
  </r>
  <r>
    <s v="SP184"/>
    <x v="1"/>
    <x v="166"/>
    <x v="1"/>
    <s v="Get into the groove with our new drop!"/>
    <n v="2408"/>
    <n v="323"/>
    <n v="251"/>
    <n v="47599"/>
    <n v="35543"/>
    <n v="287"/>
    <x v="2"/>
    <x v="0"/>
    <x v="0"/>
    <n v="6.2648374965860634E-2"/>
    <d v="2025-01-10T00:00:00"/>
    <d v="2025-02-10T00:00:00"/>
    <x v="1"/>
  </r>
  <r>
    <s v="SP185"/>
    <x v="2"/>
    <x v="47"/>
    <x v="2"/>
    <s v="New music just dropped. Hit play!"/>
    <n v="2733"/>
    <n v="297"/>
    <n v="235"/>
    <n v="37980"/>
    <n v="33058"/>
    <n v="219"/>
    <x v="1"/>
    <x v="4"/>
    <x v="3"/>
    <n v="8.5966298051606105E-2"/>
    <d v="2024-06-15T00:00:00"/>
    <d v="2024-07-15T00:00:00"/>
    <x v="0"/>
  </r>
  <r>
    <s v="SP186"/>
    <x v="1"/>
    <x v="167"/>
    <x v="1"/>
    <s v="Explore the latest podcasts now."/>
    <n v="4618"/>
    <n v="312"/>
    <n v="254"/>
    <n v="22571"/>
    <n v="29453"/>
    <n v="197"/>
    <x v="2"/>
    <x v="0"/>
    <x v="0"/>
    <n v="0.22967524699836073"/>
    <d v="2025-01-10T00:00:00"/>
    <d v="2025-02-10T00:00:00"/>
    <x v="1"/>
  </r>
  <r>
    <s v="SP187"/>
    <x v="2"/>
    <x v="168"/>
    <x v="2"/>
    <s v="Wrapped is here! Relive your top tracks ðŸŽ§"/>
    <n v="4210"/>
    <n v="319"/>
    <n v="350"/>
    <n v="37762"/>
    <n v="55162"/>
    <n v="204"/>
    <x v="1"/>
    <x v="4"/>
    <x v="3"/>
    <n v="0.12920396165457337"/>
    <d v="2024-06-15T00:00:00"/>
    <d v="2024-07-15T00:00:00"/>
    <x v="0"/>
  </r>
  <r>
    <s v="SP188"/>
    <x v="0"/>
    <x v="169"/>
    <x v="0"/>
    <s v="Wrapped is here! Relive your top tracks ðŸŽ§"/>
    <n v="3987"/>
    <n v="171"/>
    <n v="274"/>
    <n v="45122"/>
    <n v="65431"/>
    <n v="168"/>
    <x v="1"/>
    <x v="1"/>
    <x v="1"/>
    <n v="9.8222596516111871E-2"/>
    <d v="2025-03-01T00:00:00"/>
    <d v="2025-03-31T00:00:00"/>
    <x v="0"/>
  </r>
  <r>
    <s v="SP189"/>
    <x v="2"/>
    <x v="170"/>
    <x v="2"/>
    <s v="Get into the groove with our new drop!"/>
    <n v="4957"/>
    <n v="262"/>
    <n v="365"/>
    <n v="49199"/>
    <n v="40314"/>
    <n v="216"/>
    <x v="1"/>
    <x v="4"/>
    <x v="3"/>
    <n v="0.11349824183418362"/>
    <d v="2024-06-15T00:00:00"/>
    <d v="2024-07-15T00:00:00"/>
    <x v="0"/>
  </r>
  <r>
    <s v="SP190"/>
    <x v="0"/>
    <x v="171"/>
    <x v="0"/>
    <s v="Music that moves youâ€”only on Spotify."/>
    <n v="2605"/>
    <n v="282"/>
    <n v="148"/>
    <n v="32201"/>
    <n v="49583"/>
    <n v="241"/>
    <x v="0"/>
    <x v="0"/>
    <x v="0"/>
    <n v="9.4251731312692155E-2"/>
    <d v="2025-01-10T00:00:00"/>
    <d v="2025-02-10T00:00:00"/>
    <x v="2"/>
  </r>
  <r>
    <s v="SP191"/>
    <x v="2"/>
    <x v="115"/>
    <x v="2"/>
    <s v="Discover fresh beats on Spotify!"/>
    <n v="4221"/>
    <n v="307"/>
    <n v="58"/>
    <n v="45080"/>
    <n v="37214"/>
    <n v="240"/>
    <x v="1"/>
    <x v="4"/>
    <x v="3"/>
    <n v="0.10173025732031943"/>
    <d v="2024-06-15T00:00:00"/>
    <d v="2024-07-15T00:00:00"/>
    <x v="1"/>
  </r>
  <r>
    <s v="SP192"/>
    <x v="1"/>
    <x v="172"/>
    <x v="1"/>
    <s v="Whatâ€™s your vibe today? #SpotifyHits"/>
    <n v="4422"/>
    <n v="434"/>
    <n v="156"/>
    <n v="56165"/>
    <n v="52431"/>
    <n v="173"/>
    <x v="1"/>
    <x v="3"/>
    <x v="0"/>
    <n v="8.9237069349238848E-2"/>
    <d v="2025-01-10T00:00:00"/>
    <d v="2025-02-10T00:00:00"/>
    <x v="1"/>
  </r>
  <r>
    <s v="SP193"/>
    <x v="2"/>
    <x v="158"/>
    <x v="2"/>
    <s v="Wrapped is here! Relive your top tracks ðŸŽ§"/>
    <n v="1211"/>
    <n v="431"/>
    <n v="83"/>
    <n v="26532"/>
    <n v="47305"/>
    <n v="232"/>
    <x v="1"/>
    <x v="4"/>
    <x v="3"/>
    <n v="6.5015829941203071E-2"/>
    <d v="2024-06-15T00:00:00"/>
    <d v="2024-07-15T00:00:00"/>
    <x v="1"/>
  </r>
  <r>
    <s v="SP194"/>
    <x v="1"/>
    <x v="173"/>
    <x v="1"/>
    <s v="Explore the latest podcasts now."/>
    <n v="2784"/>
    <n v="111"/>
    <n v="399"/>
    <n v="58366"/>
    <n v="69512"/>
    <n v="269"/>
    <x v="2"/>
    <x v="0"/>
    <x v="0"/>
    <n v="5.6436966727204191E-2"/>
    <d v="2025-01-10T00:00:00"/>
    <d v="2025-02-10T00:00:00"/>
    <x v="1"/>
  </r>
  <r>
    <s v="SP195"/>
    <x v="2"/>
    <x v="174"/>
    <x v="0"/>
    <s v="New music just dropped. Hit play!"/>
    <n v="3634"/>
    <n v="280"/>
    <n v="399"/>
    <n v="40256"/>
    <n v="52605"/>
    <n v="213"/>
    <x v="1"/>
    <x v="2"/>
    <x v="1"/>
    <n v="0.10713930842607314"/>
    <d v="2025-03-01T00:00:00"/>
    <d v="2025-03-31T00:00:00"/>
    <x v="1"/>
  </r>
  <r>
    <s v="SP196"/>
    <x v="0"/>
    <x v="175"/>
    <x v="0"/>
    <s v="From pop to podcasts, itâ€™s all here."/>
    <n v="1771"/>
    <n v="487"/>
    <n v="272"/>
    <n v="48810"/>
    <n v="48084"/>
    <n v="272"/>
    <x v="0"/>
    <x v="0"/>
    <x v="0"/>
    <n v="5.1833640647408315E-2"/>
    <d v="2025-01-10T00:00:00"/>
    <d v="2025-02-10T00:00:00"/>
    <x v="2"/>
  </r>
  <r>
    <s v="SP197"/>
    <x v="2"/>
    <x v="176"/>
    <x v="0"/>
    <s v="Top trending tracks updated daily!"/>
    <n v="1424"/>
    <n v="396"/>
    <n v="312"/>
    <n v="59517"/>
    <n v="46102"/>
    <n v="239"/>
    <x v="1"/>
    <x v="2"/>
    <x v="1"/>
    <n v="3.5821698002251455E-2"/>
    <d v="2025-03-01T00:00:00"/>
    <d v="2025-03-31T00:00:00"/>
    <x v="1"/>
  </r>
  <r>
    <s v="SP198"/>
    <x v="1"/>
    <x v="1"/>
    <x v="1"/>
    <s v="Top trending tracks updated daily!"/>
    <n v="1079"/>
    <n v="265"/>
    <n v="190"/>
    <n v="43786"/>
    <n v="72428"/>
    <n v="222"/>
    <x v="0"/>
    <x v="0"/>
    <x v="0"/>
    <n v="3.5034029141734799E-2"/>
    <d v="2025-01-10T00:00:00"/>
    <d v="2025-02-10T00:00:00"/>
    <x v="2"/>
  </r>
  <r>
    <s v="SP199"/>
    <x v="1"/>
    <x v="177"/>
    <x v="1"/>
    <s v="Get into the groove with our new drop!"/>
    <n v="4247"/>
    <n v="179"/>
    <n v="175"/>
    <n v="32991"/>
    <n v="70120"/>
    <n v="276"/>
    <x v="0"/>
    <x v="0"/>
    <x v="0"/>
    <n v="0.13946227759085811"/>
    <d v="2025-01-10T00:00:00"/>
    <d v="2025-02-10T00:00:00"/>
    <x v="1"/>
  </r>
  <r>
    <s v="SP200"/>
    <x v="1"/>
    <x v="178"/>
    <x v="0"/>
    <s v="New music just dropped. Hit play!"/>
    <n v="2033"/>
    <n v="420"/>
    <n v="94"/>
    <n v="56290"/>
    <n v="57391"/>
    <n v="196"/>
    <x v="3"/>
    <x v="1"/>
    <x v="0"/>
    <n v="4.5247823769763724E-2"/>
    <d v="2025-01-10T00:00:00"/>
    <d v="2025-02-10T00:00:00"/>
    <x v="1"/>
  </r>
  <r>
    <s v="SP201"/>
    <x v="1"/>
    <x v="179"/>
    <x v="1"/>
    <s v="Wrapped is here! Relive your top tracks ðŸŽ§"/>
    <n v="1839"/>
    <n v="223"/>
    <n v="171"/>
    <n v="35459"/>
    <n v="69988"/>
    <n v="114"/>
    <x v="2"/>
    <x v="0"/>
    <x v="0"/>
    <n v="6.2974139146620034E-2"/>
    <d v="2025-01-10T00:00:00"/>
    <d v="2025-02-10T00:00:00"/>
    <x v="1"/>
  </r>
  <r>
    <s v="SP202"/>
    <x v="1"/>
    <x v="68"/>
    <x v="1"/>
    <s v="Wrapped is here! Relive your top tracks ðŸŽ§"/>
    <n v="2340"/>
    <n v="141"/>
    <n v="206"/>
    <n v="24916"/>
    <n v="30582"/>
    <n v="157"/>
    <x v="0"/>
    <x v="0"/>
    <x v="0"/>
    <n v="0.10784235029699792"/>
    <d v="2025-01-10T00:00:00"/>
    <d v="2025-02-10T00:00:00"/>
    <x v="1"/>
  </r>
  <r>
    <s v="SP203"/>
    <x v="0"/>
    <x v="180"/>
    <x v="0"/>
    <s v="Top trending tracks updated daily!"/>
    <n v="2080"/>
    <n v="389"/>
    <n v="92"/>
    <n v="30971"/>
    <n v="25347"/>
    <n v="111"/>
    <x v="1"/>
    <x v="1"/>
    <x v="1"/>
    <n v="8.2690258629040073E-2"/>
    <d v="2025-03-01T00:00:00"/>
    <d v="2025-03-31T00:00:00"/>
    <x v="1"/>
  </r>
  <r>
    <s v="SP204"/>
    <x v="1"/>
    <x v="181"/>
    <x v="0"/>
    <s v="Get into the groove with our new drop!"/>
    <n v="4214"/>
    <n v="286"/>
    <n v="127"/>
    <n v="47293"/>
    <n v="27184"/>
    <n v="232"/>
    <x v="3"/>
    <x v="1"/>
    <x v="0"/>
    <n v="9.7836889180216949E-2"/>
    <d v="2025-01-10T00:00:00"/>
    <d v="2025-02-10T00:00:00"/>
    <x v="1"/>
  </r>
  <r>
    <s v="SP205"/>
    <x v="1"/>
    <x v="63"/>
    <x v="0"/>
    <s v="Wrapped is here! Relive your top tracks ðŸŽ§"/>
    <n v="3792"/>
    <n v="315"/>
    <n v="120"/>
    <n v="54592"/>
    <n v="67886"/>
    <n v="117"/>
    <x v="0"/>
    <x v="1"/>
    <x v="1"/>
    <n v="7.7428927315357568E-2"/>
    <d v="2025-03-01T00:00:00"/>
    <d v="2025-03-31T00:00:00"/>
    <x v="0"/>
  </r>
  <r>
    <s v="SP206"/>
    <x v="1"/>
    <x v="182"/>
    <x v="1"/>
    <s v="Explore the latest podcasts now."/>
    <n v="3989"/>
    <n v="476"/>
    <n v="128"/>
    <n v="57569"/>
    <n v="40193"/>
    <n v="222"/>
    <x v="1"/>
    <x v="3"/>
    <x v="0"/>
    <n v="7.9782521843353188E-2"/>
    <d v="2025-01-10T00:00:00"/>
    <d v="2025-02-10T00:00:00"/>
    <x v="1"/>
  </r>
  <r>
    <s v="SP207"/>
    <x v="1"/>
    <x v="129"/>
    <x v="1"/>
    <s v="Wrapped is here! Relive your top tracks ðŸŽ§"/>
    <n v="2857"/>
    <n v="443"/>
    <n v="359"/>
    <n v="51519"/>
    <n v="28256"/>
    <n v="155"/>
    <x v="0"/>
    <x v="0"/>
    <x v="0"/>
    <n v="7.1022341272152026E-2"/>
    <d v="2025-01-10T00:00:00"/>
    <d v="2025-02-10T00:00:00"/>
    <x v="1"/>
  </r>
  <r>
    <s v="SP208"/>
    <x v="1"/>
    <x v="183"/>
    <x v="0"/>
    <s v="From pop to podcasts, itâ€™s all here."/>
    <n v="1403"/>
    <n v="385"/>
    <n v="344"/>
    <n v="54223"/>
    <n v="72595"/>
    <n v="239"/>
    <x v="0"/>
    <x v="1"/>
    <x v="1"/>
    <n v="3.9319108127547353E-2"/>
    <d v="2025-03-01T00:00:00"/>
    <d v="2025-03-31T00:00:00"/>
    <x v="0"/>
  </r>
  <r>
    <s v="SP209"/>
    <x v="1"/>
    <x v="184"/>
    <x v="1"/>
    <s v="Whatâ€™s your vibe today? #SpotifyHits"/>
    <n v="3071"/>
    <n v="126"/>
    <n v="200"/>
    <n v="44013"/>
    <n v="44679"/>
    <n v="118"/>
    <x v="1"/>
    <x v="3"/>
    <x v="0"/>
    <n v="7.7181741758116915E-2"/>
    <d v="2025-01-10T00:00:00"/>
    <d v="2025-02-10T00:00:00"/>
    <x v="1"/>
  </r>
  <r>
    <s v="SP210"/>
    <x v="1"/>
    <x v="185"/>
    <x v="1"/>
    <s v="Top trending tracks updated daily!"/>
    <n v="1010"/>
    <n v="361"/>
    <n v="240"/>
    <n v="47229"/>
    <n v="72573"/>
    <n v="275"/>
    <x v="0"/>
    <x v="0"/>
    <x v="0"/>
    <n v="3.4110398272247981E-2"/>
    <d v="2025-01-10T00:00:00"/>
    <d v="2025-02-10T00:00:00"/>
    <x v="0"/>
  </r>
  <r>
    <s v="SP211"/>
    <x v="1"/>
    <x v="186"/>
    <x v="1"/>
    <s v="Discover fresh beats on Spotify!"/>
    <n v="1295"/>
    <n v="153"/>
    <n v="81"/>
    <n v="48350"/>
    <n v="61033"/>
    <n v="232"/>
    <x v="1"/>
    <x v="3"/>
    <x v="0"/>
    <n v="3.1623578076525334E-2"/>
    <d v="2025-01-10T00:00:00"/>
    <d v="2025-02-10T00:00:00"/>
    <x v="1"/>
  </r>
  <r>
    <s v="SP212"/>
    <x v="1"/>
    <x v="187"/>
    <x v="1"/>
    <s v="Whatâ€™s your vibe today? #SpotifyHits"/>
    <n v="1433"/>
    <n v="452"/>
    <n v="305"/>
    <n v="54541"/>
    <n v="63700"/>
    <n v="296"/>
    <x v="1"/>
    <x v="3"/>
    <x v="0"/>
    <n v="4.0153279184466734E-2"/>
    <d v="2025-01-10T00:00:00"/>
    <d v="2025-02-10T00:00:00"/>
    <x v="0"/>
  </r>
  <r>
    <s v="SP213"/>
    <x v="0"/>
    <x v="188"/>
    <x v="1"/>
    <s v="Get into the groove with our new drop!"/>
    <n v="4902"/>
    <n v="422"/>
    <n v="376"/>
    <n v="31674"/>
    <n v="53225"/>
    <n v="147"/>
    <x v="3"/>
    <x v="1"/>
    <x v="2"/>
    <n v="0.17995832544042431"/>
    <d v="2024-12-01T00:00:00"/>
    <d v="2024-12-31T00:00:00"/>
    <x v="0"/>
  </r>
  <r>
    <s v="SP214"/>
    <x v="1"/>
    <x v="30"/>
    <x v="0"/>
    <s v="Wrapped is here! Relive your top tracks ðŸŽ§"/>
    <n v="2659"/>
    <n v="167"/>
    <n v="73"/>
    <n v="23090"/>
    <n v="25872"/>
    <n v="293"/>
    <x v="0"/>
    <x v="1"/>
    <x v="1"/>
    <n v="0.12555218709398008"/>
    <d v="2025-03-01T00:00:00"/>
    <d v="2025-03-31T00:00:00"/>
    <x v="1"/>
  </r>
  <r>
    <s v="SP215"/>
    <x v="2"/>
    <x v="189"/>
    <x v="0"/>
    <s v="Your weekend playlist is waiting."/>
    <n v="2599"/>
    <n v="324"/>
    <n v="182"/>
    <n v="37525"/>
    <n v="37216"/>
    <n v="186"/>
    <x v="1"/>
    <x v="2"/>
    <x v="1"/>
    <n v="8.2744836775483013E-2"/>
    <d v="2025-03-01T00:00:00"/>
    <d v="2025-03-31T00:00:00"/>
    <x v="1"/>
  </r>
  <r>
    <s v="SP216"/>
    <x v="1"/>
    <x v="175"/>
    <x v="0"/>
    <s v="Music that moves youâ€”only on Spotify."/>
    <n v="1765"/>
    <n v="285"/>
    <n v="100"/>
    <n v="41313"/>
    <n v="56575"/>
    <n v="174"/>
    <x v="0"/>
    <x v="1"/>
    <x v="1"/>
    <n v="5.2041730205988429E-2"/>
    <d v="2025-03-01T00:00:00"/>
    <d v="2025-03-31T00:00:00"/>
    <x v="1"/>
  </r>
  <r>
    <s v="SP217"/>
    <x v="0"/>
    <x v="190"/>
    <x v="0"/>
    <s v="Whatâ€™s your vibe today? #SpotifyHits"/>
    <n v="2169"/>
    <n v="240"/>
    <n v="57"/>
    <n v="26109"/>
    <n v="46667"/>
    <n v="133"/>
    <x v="0"/>
    <x v="0"/>
    <x v="0"/>
    <n v="9.4450189589796618E-2"/>
    <d v="2025-01-10T00:00:00"/>
    <d v="2025-02-10T00:00:00"/>
    <x v="0"/>
  </r>
  <r>
    <s v="SP218"/>
    <x v="1"/>
    <x v="191"/>
    <x v="1"/>
    <s v="Explore the latest podcasts now."/>
    <n v="4303"/>
    <n v="306"/>
    <n v="302"/>
    <n v="39575"/>
    <n v="33762"/>
    <n v="265"/>
    <x v="1"/>
    <x v="3"/>
    <x v="0"/>
    <n v="0.12409349336702463"/>
    <d v="2025-01-10T00:00:00"/>
    <d v="2025-02-10T00:00:00"/>
    <x v="1"/>
  </r>
  <r>
    <s v="SP219"/>
    <x v="1"/>
    <x v="192"/>
    <x v="0"/>
    <s v="From pop to podcasts, itâ€™s all here."/>
    <n v="1519"/>
    <n v="456"/>
    <n v="379"/>
    <n v="51611"/>
    <n v="45880"/>
    <n v="176"/>
    <x v="0"/>
    <x v="1"/>
    <x v="1"/>
    <n v="4.5610431884675749E-2"/>
    <d v="2025-03-01T00:00:00"/>
    <d v="2025-03-31T00:00:00"/>
    <x v="1"/>
  </r>
  <r>
    <s v="SP220"/>
    <x v="2"/>
    <x v="193"/>
    <x v="0"/>
    <s v="Whatâ€™s your vibe today? #SpotifyHits"/>
    <n v="2569"/>
    <n v="140"/>
    <n v="375"/>
    <n v="38372"/>
    <n v="22102"/>
    <n v="255"/>
    <x v="1"/>
    <x v="2"/>
    <x v="1"/>
    <n v="8.0371103929948923E-2"/>
    <d v="2025-03-01T00:00:00"/>
    <d v="2025-03-31T00:00:00"/>
    <x v="1"/>
  </r>
  <r>
    <s v="SP221"/>
    <x v="1"/>
    <x v="194"/>
    <x v="1"/>
    <s v="Music that moves youâ€”only on Spotify."/>
    <n v="2778"/>
    <n v="241"/>
    <n v="317"/>
    <n v="26247"/>
    <n v="20677"/>
    <n v="282"/>
    <x v="2"/>
    <x v="0"/>
    <x v="0"/>
    <n v="0.1271002400274317"/>
    <d v="2025-01-10T00:00:00"/>
    <d v="2025-02-10T00:00:00"/>
    <x v="0"/>
  </r>
  <r>
    <s v="SP222"/>
    <x v="1"/>
    <x v="195"/>
    <x v="0"/>
    <s v="Explore the latest podcasts now."/>
    <n v="3611"/>
    <n v="127"/>
    <n v="139"/>
    <n v="44768"/>
    <n v="29435"/>
    <n v="178"/>
    <x v="3"/>
    <x v="1"/>
    <x v="0"/>
    <n v="8.6602037169406718E-2"/>
    <d v="2025-01-10T00:00:00"/>
    <d v="2025-02-10T00:00:00"/>
    <x v="0"/>
  </r>
  <r>
    <s v="SP223"/>
    <x v="1"/>
    <x v="196"/>
    <x v="0"/>
    <s v="Whatâ€™s your vibe today? #SpotifyHits"/>
    <n v="1224"/>
    <n v="168"/>
    <n v="199"/>
    <n v="54232"/>
    <n v="52844"/>
    <n v="271"/>
    <x v="0"/>
    <x v="1"/>
    <x v="1"/>
    <n v="2.9336922849977874E-2"/>
    <d v="2025-03-01T00:00:00"/>
    <d v="2025-03-31T00:00:00"/>
    <x v="1"/>
  </r>
  <r>
    <s v="SP224"/>
    <x v="1"/>
    <x v="193"/>
    <x v="0"/>
    <s v="From pop to podcasts, itâ€™s all here."/>
    <n v="4673"/>
    <n v="270"/>
    <n v="93"/>
    <n v="45260"/>
    <n v="57513"/>
    <n v="103"/>
    <x v="3"/>
    <x v="1"/>
    <x v="0"/>
    <n v="0.11126822801590809"/>
    <d v="2025-01-10T00:00:00"/>
    <d v="2025-02-10T00:00:00"/>
    <x v="1"/>
  </r>
  <r>
    <s v="SP225"/>
    <x v="2"/>
    <x v="197"/>
    <x v="0"/>
    <s v="Wrapped is here! Relive your top tracks ðŸŽ§"/>
    <n v="1432"/>
    <n v="437"/>
    <n v="267"/>
    <n v="40634"/>
    <n v="54511"/>
    <n v="197"/>
    <x v="1"/>
    <x v="2"/>
    <x v="1"/>
    <n v="5.2566815966924252E-2"/>
    <d v="2025-03-01T00:00:00"/>
    <d v="2025-03-31T00:00:00"/>
    <x v="1"/>
  </r>
  <r>
    <s v="SP226"/>
    <x v="1"/>
    <x v="198"/>
    <x v="1"/>
    <s v="New music just dropped. Hit play!"/>
    <n v="2174"/>
    <n v="499"/>
    <n v="212"/>
    <n v="54938"/>
    <n v="27190"/>
    <n v="265"/>
    <x v="2"/>
    <x v="0"/>
    <x v="0"/>
    <n v="5.2513742764570971E-2"/>
    <d v="2025-01-10T00:00:00"/>
    <d v="2025-02-10T00:00:00"/>
    <x v="1"/>
  </r>
  <r>
    <s v="SP227"/>
    <x v="2"/>
    <x v="199"/>
    <x v="0"/>
    <s v="Music that moves youâ€”only on Spotify."/>
    <n v="4308"/>
    <n v="171"/>
    <n v="106"/>
    <n v="36955"/>
    <n v="23949"/>
    <n v="294"/>
    <x v="1"/>
    <x v="2"/>
    <x v="1"/>
    <n v="0.12406981463942633"/>
    <d v="2025-03-01T00:00:00"/>
    <d v="2025-03-31T00:00:00"/>
    <x v="2"/>
  </r>
  <r>
    <s v="SP228"/>
    <x v="2"/>
    <x v="140"/>
    <x v="2"/>
    <s v="Whatâ€™s your vibe today? #SpotifyHits"/>
    <n v="1060"/>
    <n v="442"/>
    <n v="319"/>
    <n v="57194"/>
    <n v="24258"/>
    <n v="101"/>
    <x v="1"/>
    <x v="4"/>
    <x v="3"/>
    <n v="3.1839004091338254E-2"/>
    <d v="2024-06-15T00:00:00"/>
    <d v="2024-07-15T00:00:00"/>
    <x v="1"/>
  </r>
  <r>
    <s v="SP229"/>
    <x v="2"/>
    <x v="115"/>
    <x v="0"/>
    <s v="Music that moves youâ€”only on Spotify."/>
    <n v="4653"/>
    <n v="226"/>
    <n v="349"/>
    <n v="56876"/>
    <n v="28452"/>
    <n v="257"/>
    <x v="1"/>
    <x v="2"/>
    <x v="1"/>
    <n v="9.191926295801392E-2"/>
    <d v="2025-03-01T00:00:00"/>
    <d v="2025-03-31T00:00:00"/>
    <x v="1"/>
  </r>
  <r>
    <s v="SP230"/>
    <x v="2"/>
    <x v="23"/>
    <x v="0"/>
    <s v="Discover fresh beats on Spotify!"/>
    <n v="1701"/>
    <n v="272"/>
    <n v="385"/>
    <n v="47496"/>
    <n v="40832"/>
    <n v="246"/>
    <x v="1"/>
    <x v="2"/>
    <x v="1"/>
    <n v="4.9646286003031836E-2"/>
    <d v="2025-03-01T00:00:00"/>
    <d v="2025-03-31T00:00:00"/>
    <x v="0"/>
  </r>
  <r>
    <s v="SP231"/>
    <x v="0"/>
    <x v="65"/>
    <x v="0"/>
    <s v="Whatâ€™s your vibe today? #SpotifyHits"/>
    <n v="1673"/>
    <n v="280"/>
    <n v="67"/>
    <n v="29847"/>
    <n v="48016"/>
    <n v="213"/>
    <x v="0"/>
    <x v="0"/>
    <x v="0"/>
    <n v="6.76784936509532E-2"/>
    <d v="2025-01-10T00:00:00"/>
    <d v="2025-02-10T00:00:00"/>
    <x v="1"/>
  </r>
  <r>
    <s v="SP232"/>
    <x v="2"/>
    <x v="77"/>
    <x v="0"/>
    <s v="Top trending tracks updated daily!"/>
    <n v="4310"/>
    <n v="284"/>
    <n v="306"/>
    <n v="44606"/>
    <n v="42604"/>
    <n v="290"/>
    <x v="1"/>
    <x v="2"/>
    <x v="1"/>
    <n v="0.10985069273191947"/>
    <d v="2025-03-01T00:00:00"/>
    <d v="2025-03-31T00:00:00"/>
    <x v="2"/>
  </r>
  <r>
    <s v="SP233"/>
    <x v="1"/>
    <x v="200"/>
    <x v="0"/>
    <s v="From pop to podcasts, itâ€™s all here."/>
    <n v="2752"/>
    <n v="309"/>
    <n v="91"/>
    <n v="39038"/>
    <n v="28095"/>
    <n v="277"/>
    <x v="3"/>
    <x v="1"/>
    <x v="0"/>
    <n v="8.0741841282852611E-2"/>
    <d v="2025-01-10T00:00:00"/>
    <d v="2025-02-10T00:00:00"/>
    <x v="1"/>
  </r>
  <r>
    <s v="SP234"/>
    <x v="1"/>
    <x v="201"/>
    <x v="0"/>
    <s v="From pop to podcasts, itâ€™s all here."/>
    <n v="3818"/>
    <n v="115"/>
    <n v="286"/>
    <n v="25127"/>
    <n v="22277"/>
    <n v="263"/>
    <x v="3"/>
    <x v="1"/>
    <x v="0"/>
    <n v="0.16790703227603773"/>
    <d v="2025-01-10T00:00:00"/>
    <d v="2025-02-10T00:00:00"/>
    <x v="1"/>
  </r>
  <r>
    <s v="SP235"/>
    <x v="2"/>
    <x v="102"/>
    <x v="0"/>
    <s v="Your weekend playlist is waiting."/>
    <n v="2101"/>
    <n v="411"/>
    <n v="190"/>
    <n v="41791"/>
    <n v="57090"/>
    <n v="172"/>
    <x v="1"/>
    <x v="2"/>
    <x v="1"/>
    <n v="6.4655069273288512E-2"/>
    <d v="2025-03-01T00:00:00"/>
    <d v="2025-03-31T00:00:00"/>
    <x v="1"/>
  </r>
  <r>
    <s v="SP236"/>
    <x v="0"/>
    <x v="202"/>
    <x v="0"/>
    <s v="Discover fresh beats on Spotify!"/>
    <n v="2519"/>
    <n v="202"/>
    <n v="239"/>
    <n v="36245"/>
    <n v="48606"/>
    <n v="145"/>
    <x v="1"/>
    <x v="1"/>
    <x v="1"/>
    <n v="8.1666436749896543E-2"/>
    <d v="2025-03-01T00:00:00"/>
    <d v="2025-03-31T00:00:00"/>
    <x v="1"/>
  </r>
  <r>
    <s v="SP237"/>
    <x v="2"/>
    <x v="174"/>
    <x v="0"/>
    <s v="Whatâ€™s your vibe today? #SpotifyHits"/>
    <n v="4502"/>
    <n v="238"/>
    <n v="386"/>
    <n v="39198"/>
    <n v="25050"/>
    <n v="297"/>
    <x v="1"/>
    <x v="2"/>
    <x v="1"/>
    <n v="0.13077197816215114"/>
    <d v="2025-03-01T00:00:00"/>
    <d v="2025-03-31T00:00:00"/>
    <x v="1"/>
  </r>
  <r>
    <s v="SP238"/>
    <x v="0"/>
    <x v="7"/>
    <x v="0"/>
    <s v="Explore the latest podcasts now."/>
    <n v="2478"/>
    <n v="427"/>
    <n v="242"/>
    <n v="59272"/>
    <n v="37833"/>
    <n v="214"/>
    <x v="0"/>
    <x v="0"/>
    <x v="0"/>
    <n v="5.3094209744904843E-2"/>
    <d v="2025-01-10T00:00:00"/>
    <d v="2025-02-10T00:00:00"/>
    <x v="0"/>
  </r>
  <r>
    <s v="SP239"/>
    <x v="1"/>
    <x v="203"/>
    <x v="1"/>
    <s v="New music just dropped. Hit play!"/>
    <n v="4984"/>
    <n v="300"/>
    <n v="338"/>
    <n v="32900"/>
    <n v="31691"/>
    <n v="160"/>
    <x v="2"/>
    <x v="0"/>
    <x v="0"/>
    <n v="0.17088145896656534"/>
    <d v="2025-01-10T00:00:00"/>
    <d v="2025-02-10T00:00:00"/>
    <x v="1"/>
  </r>
  <r>
    <s v="SP240"/>
    <x v="2"/>
    <x v="46"/>
    <x v="0"/>
    <s v="Wrapped is here! Relive your top tracks ðŸŽ§"/>
    <n v="4774"/>
    <n v="389"/>
    <n v="358"/>
    <n v="52346"/>
    <n v="30518"/>
    <n v="277"/>
    <x v="1"/>
    <x v="2"/>
    <x v="1"/>
    <n v="0.10547128720437092"/>
    <d v="2025-03-01T00:00:00"/>
    <d v="2025-03-31T00:00:00"/>
    <x v="1"/>
  </r>
  <r>
    <s v="SP241"/>
    <x v="1"/>
    <x v="204"/>
    <x v="0"/>
    <s v="Get into the groove with our new drop!"/>
    <n v="2145"/>
    <n v="340"/>
    <n v="85"/>
    <n v="53323"/>
    <n v="49938"/>
    <n v="104"/>
    <x v="3"/>
    <x v="1"/>
    <x v="0"/>
    <n v="4.819683813738912E-2"/>
    <d v="2025-01-10T00:00:00"/>
    <d v="2025-02-10T00:00:00"/>
    <x v="1"/>
  </r>
  <r>
    <s v="SP242"/>
    <x v="1"/>
    <x v="205"/>
    <x v="1"/>
    <s v="From pop to podcasts, itâ€™s all here."/>
    <n v="4315"/>
    <n v="208"/>
    <n v="273"/>
    <n v="35780"/>
    <n v="44349"/>
    <n v="133"/>
    <x v="1"/>
    <x v="3"/>
    <x v="0"/>
    <n v="0.13404136389044158"/>
    <d v="2025-01-10T00:00:00"/>
    <d v="2025-02-10T00:00:00"/>
    <x v="0"/>
  </r>
  <r>
    <s v="SP243"/>
    <x v="1"/>
    <x v="193"/>
    <x v="1"/>
    <s v="Wrapped is here! Relive your top tracks ðŸŽ§"/>
    <n v="2267"/>
    <n v="230"/>
    <n v="243"/>
    <n v="27904"/>
    <n v="69771"/>
    <n v="255"/>
    <x v="1"/>
    <x v="3"/>
    <x v="0"/>
    <n v="9.8193807339449546E-2"/>
    <d v="2025-01-10T00:00:00"/>
    <d v="2025-02-10T00:00:00"/>
    <x v="1"/>
  </r>
  <r>
    <s v="SP244"/>
    <x v="2"/>
    <x v="206"/>
    <x v="0"/>
    <s v="Music that moves youâ€”only on Spotify."/>
    <n v="4375"/>
    <n v="303"/>
    <n v="294"/>
    <n v="57468"/>
    <n v="53397"/>
    <n v="159"/>
    <x v="1"/>
    <x v="2"/>
    <x v="1"/>
    <n v="8.6517714206166912E-2"/>
    <d v="2025-03-01T00:00:00"/>
    <d v="2025-03-31T00:00:00"/>
    <x v="0"/>
  </r>
  <r>
    <s v="SP245"/>
    <x v="1"/>
    <x v="31"/>
    <x v="1"/>
    <s v="Your weekend playlist is waiting."/>
    <n v="3817"/>
    <n v="284"/>
    <n v="204"/>
    <n v="46434"/>
    <n v="53396"/>
    <n v="104"/>
    <x v="2"/>
    <x v="0"/>
    <x v="0"/>
    <n v="9.2712236723090841E-2"/>
    <d v="2025-01-10T00:00:00"/>
    <d v="2025-02-10T00:00:00"/>
    <x v="1"/>
  </r>
  <r>
    <s v="SP246"/>
    <x v="1"/>
    <x v="207"/>
    <x v="1"/>
    <s v="Top trending tracks updated daily!"/>
    <n v="2981"/>
    <n v="258"/>
    <n v="168"/>
    <n v="20677"/>
    <n v="68290"/>
    <n v="130"/>
    <x v="0"/>
    <x v="0"/>
    <x v="0"/>
    <n v="0.16477245248343569"/>
    <d v="2025-01-10T00:00:00"/>
    <d v="2025-02-10T00:00:00"/>
    <x v="1"/>
  </r>
  <r>
    <s v="SP247"/>
    <x v="1"/>
    <x v="172"/>
    <x v="1"/>
    <s v="Your weekend playlist is waiting."/>
    <n v="3300"/>
    <n v="354"/>
    <n v="397"/>
    <n v="56773"/>
    <n v="72110"/>
    <n v="163"/>
    <x v="1"/>
    <x v="3"/>
    <x v="0"/>
    <n v="7.1354340971940891E-2"/>
    <d v="2025-01-10T00:00:00"/>
    <d v="2025-02-10T00:00:00"/>
    <x v="1"/>
  </r>
  <r>
    <s v="SP248"/>
    <x v="2"/>
    <x v="208"/>
    <x v="2"/>
    <s v="Wrapped is here! Relive your top tracks ðŸŽ§"/>
    <n v="4722"/>
    <n v="310"/>
    <n v="344"/>
    <n v="27911"/>
    <n v="19000"/>
    <n v="225"/>
    <x v="1"/>
    <x v="4"/>
    <x v="3"/>
    <n v="0.19261223173659131"/>
    <d v="2024-06-15T00:00:00"/>
    <d v="2024-07-15T00:00:00"/>
    <x v="1"/>
  </r>
  <r>
    <s v="SP249"/>
    <x v="0"/>
    <x v="9"/>
    <x v="0"/>
    <s v="Whatâ€™s your vibe today? #SpotifyHits"/>
    <n v="3529"/>
    <n v="263"/>
    <n v="107"/>
    <n v="26570"/>
    <n v="19367"/>
    <n v="96"/>
    <x v="1"/>
    <x v="1"/>
    <x v="1"/>
    <n v="0.14674444862627023"/>
    <d v="2025-03-01T00:00:00"/>
    <d v="2025-03-31T00:00:00"/>
    <x v="1"/>
  </r>
  <r>
    <s v="SP250"/>
    <x v="1"/>
    <x v="126"/>
    <x v="0"/>
    <s v="Your weekend playlist is waiting."/>
    <n v="4782"/>
    <n v="210"/>
    <n v="311"/>
    <n v="29793"/>
    <n v="37543"/>
    <n v="145"/>
    <x v="3"/>
    <x v="1"/>
    <x v="0"/>
    <n v="0.17799483100057059"/>
    <d v="2025-01-10T00:00:00"/>
    <d v="2025-02-10T00:00:00"/>
    <x v="0"/>
  </r>
  <r>
    <s v="SP251"/>
    <x v="1"/>
    <x v="60"/>
    <x v="0"/>
    <s v="Whatâ€™s your vibe today? #SpotifyHits"/>
    <n v="1848"/>
    <n v="417"/>
    <n v="294"/>
    <n v="57819"/>
    <n v="19798"/>
    <n v="262"/>
    <x v="0"/>
    <x v="1"/>
    <x v="1"/>
    <n v="4.4258807658382193E-2"/>
    <d v="2025-03-01T00:00:00"/>
    <d v="2025-03-31T00:00:00"/>
    <x v="1"/>
  </r>
  <r>
    <s v="SP252"/>
    <x v="2"/>
    <x v="96"/>
    <x v="0"/>
    <s v="New music just dropped. Hit play!"/>
    <n v="4676"/>
    <n v="211"/>
    <n v="55"/>
    <n v="45917"/>
    <n v="73503"/>
    <n v="248"/>
    <x v="1"/>
    <x v="2"/>
    <x v="1"/>
    <n v="0.10762898272970794"/>
    <d v="2025-03-01T00:00:00"/>
    <d v="2025-03-31T00:00:00"/>
    <x v="1"/>
  </r>
  <r>
    <s v="SP253"/>
    <x v="2"/>
    <x v="209"/>
    <x v="0"/>
    <s v="From pop to podcasts, itâ€™s all here."/>
    <n v="1994"/>
    <n v="197"/>
    <n v="290"/>
    <n v="49500"/>
    <n v="23343"/>
    <n v="160"/>
    <x v="1"/>
    <x v="2"/>
    <x v="1"/>
    <n v="5.0121212121212122E-2"/>
    <d v="2025-03-01T00:00:00"/>
    <d v="2025-03-31T00:00:00"/>
    <x v="1"/>
  </r>
  <r>
    <s v="SP254"/>
    <x v="1"/>
    <x v="210"/>
    <x v="0"/>
    <s v="Whatâ€™s your vibe today? #SpotifyHits"/>
    <n v="4995"/>
    <n v="231"/>
    <n v="94"/>
    <n v="34431"/>
    <n v="32560"/>
    <n v="262"/>
    <x v="3"/>
    <x v="1"/>
    <x v="0"/>
    <n v="0.15451192239551567"/>
    <d v="2025-01-10T00:00:00"/>
    <d v="2025-02-10T00:00:00"/>
    <x v="2"/>
  </r>
  <r>
    <s v="SP255"/>
    <x v="1"/>
    <x v="154"/>
    <x v="1"/>
    <s v="Top trending tracks updated daily!"/>
    <n v="2291"/>
    <n v="146"/>
    <n v="399"/>
    <n v="49319"/>
    <n v="28056"/>
    <n v="90"/>
    <x v="1"/>
    <x v="3"/>
    <x v="0"/>
    <n v="5.7503193495407452E-2"/>
    <d v="2025-01-10T00:00:00"/>
    <d v="2025-02-10T00:00:00"/>
    <x v="1"/>
  </r>
  <r>
    <s v="SP256"/>
    <x v="1"/>
    <x v="207"/>
    <x v="1"/>
    <s v="Wrapped is here! Relive your top tracks ðŸŽ§"/>
    <n v="2304"/>
    <n v="289"/>
    <n v="161"/>
    <n v="52645"/>
    <n v="66262"/>
    <n v="146"/>
    <x v="2"/>
    <x v="0"/>
    <x v="0"/>
    <n v="5.2312660271630736E-2"/>
    <d v="2025-01-10T00:00:00"/>
    <d v="2025-02-10T00:00:00"/>
    <x v="1"/>
  </r>
  <r>
    <s v="SP257"/>
    <x v="1"/>
    <x v="211"/>
    <x v="1"/>
    <s v="Top trending tracks updated daily!"/>
    <n v="3413"/>
    <n v="326"/>
    <n v="86"/>
    <n v="44680"/>
    <n v="52719"/>
    <n v="272"/>
    <x v="1"/>
    <x v="3"/>
    <x v="0"/>
    <n v="8.5608773500447627E-2"/>
    <d v="2025-01-10T00:00:00"/>
    <d v="2025-02-10T00:00:00"/>
    <x v="1"/>
  </r>
  <r>
    <s v="SP258"/>
    <x v="2"/>
    <x v="123"/>
    <x v="2"/>
    <s v="From pop to podcasts, itâ€™s all here."/>
    <n v="1453"/>
    <n v="156"/>
    <n v="178"/>
    <n v="52980"/>
    <n v="57180"/>
    <n v="286"/>
    <x v="1"/>
    <x v="4"/>
    <x v="3"/>
    <n v="3.3729709324273313E-2"/>
    <d v="2024-06-15T00:00:00"/>
    <d v="2024-07-15T00:00:00"/>
    <x v="0"/>
  </r>
  <r>
    <s v="SP259"/>
    <x v="1"/>
    <x v="212"/>
    <x v="1"/>
    <s v="Music that moves youâ€”only on Spotify."/>
    <n v="1651"/>
    <n v="480"/>
    <n v="282"/>
    <n v="32140"/>
    <n v="70560"/>
    <n v="138"/>
    <x v="0"/>
    <x v="0"/>
    <x v="0"/>
    <n v="7.5077784691972627E-2"/>
    <d v="2025-01-10T00:00:00"/>
    <d v="2025-02-10T00:00:00"/>
    <x v="2"/>
  </r>
  <r>
    <s v="SP260"/>
    <x v="1"/>
    <x v="67"/>
    <x v="1"/>
    <s v="Explore the latest podcasts now."/>
    <n v="3341"/>
    <n v="154"/>
    <n v="123"/>
    <n v="43369"/>
    <n v="49035"/>
    <n v="128"/>
    <x v="2"/>
    <x v="0"/>
    <x v="0"/>
    <n v="8.3423643616408028E-2"/>
    <d v="2025-01-10T00:00:00"/>
    <d v="2025-02-10T00:00:00"/>
    <x v="1"/>
  </r>
  <r>
    <s v="SP261"/>
    <x v="1"/>
    <x v="213"/>
    <x v="0"/>
    <s v="From pop to podcasts, itâ€™s all here."/>
    <n v="2972"/>
    <n v="263"/>
    <n v="308"/>
    <n v="51740"/>
    <n v="28214"/>
    <n v="190"/>
    <x v="0"/>
    <x v="1"/>
    <x v="1"/>
    <n v="6.8477000386548123E-2"/>
    <d v="2025-03-01T00:00:00"/>
    <d v="2025-03-31T00:00:00"/>
    <x v="1"/>
  </r>
  <r>
    <s v="SP262"/>
    <x v="1"/>
    <x v="214"/>
    <x v="1"/>
    <s v="Explore the latest podcasts now."/>
    <n v="4963"/>
    <n v="255"/>
    <n v="193"/>
    <n v="44386"/>
    <n v="28415"/>
    <n v="174"/>
    <x v="2"/>
    <x v="0"/>
    <x v="0"/>
    <n v="0.12190780876853062"/>
    <d v="2025-01-10T00:00:00"/>
    <d v="2025-02-10T00:00:00"/>
    <x v="1"/>
  </r>
  <r>
    <s v="SP263"/>
    <x v="2"/>
    <x v="215"/>
    <x v="0"/>
    <s v="Music that moves youâ€”only on Spotify."/>
    <n v="2399"/>
    <n v="191"/>
    <n v="221"/>
    <n v="51603"/>
    <n v="40033"/>
    <n v="173"/>
    <x v="1"/>
    <x v="2"/>
    <x v="1"/>
    <n v="5.4473577117609438E-2"/>
    <d v="2025-03-01T00:00:00"/>
    <d v="2025-03-31T00:00:00"/>
    <x v="1"/>
  </r>
  <r>
    <s v="SP264"/>
    <x v="2"/>
    <x v="190"/>
    <x v="2"/>
    <s v="Get into the groove with our new drop!"/>
    <n v="2162"/>
    <n v="318"/>
    <n v="83"/>
    <n v="46719"/>
    <n v="20482"/>
    <n v="185"/>
    <x v="1"/>
    <x v="4"/>
    <x v="3"/>
    <n v="5.4859907104176028E-2"/>
    <d v="2024-06-15T00:00:00"/>
    <d v="2024-07-15T00:00:00"/>
    <x v="0"/>
  </r>
  <r>
    <s v="SP265"/>
    <x v="1"/>
    <x v="76"/>
    <x v="1"/>
    <s v="Explore the latest podcasts now."/>
    <n v="4341"/>
    <n v="141"/>
    <n v="63"/>
    <n v="50081"/>
    <n v="27507"/>
    <n v="221"/>
    <x v="1"/>
    <x v="3"/>
    <x v="0"/>
    <n v="9.0752980172121162E-2"/>
    <d v="2025-01-10T00:00:00"/>
    <d v="2025-02-10T00:00:00"/>
    <x v="0"/>
  </r>
  <r>
    <s v="SP266"/>
    <x v="0"/>
    <x v="140"/>
    <x v="1"/>
    <s v="Get into the groove with our new drop!"/>
    <n v="2448"/>
    <n v="464"/>
    <n v="98"/>
    <n v="25737"/>
    <n v="48545"/>
    <n v="246"/>
    <x v="3"/>
    <x v="1"/>
    <x v="2"/>
    <n v="0.11695224773672146"/>
    <d v="2024-12-01T00:00:00"/>
    <d v="2024-12-31T00:00:00"/>
    <x v="1"/>
  </r>
  <r>
    <s v="SP267"/>
    <x v="2"/>
    <x v="216"/>
    <x v="0"/>
    <s v="Top trending tracks updated daily!"/>
    <n v="2471"/>
    <n v="166"/>
    <n v="320"/>
    <n v="48254"/>
    <n v="46900"/>
    <n v="111"/>
    <x v="1"/>
    <x v="2"/>
    <x v="1"/>
    <n v="6.1279893894806647E-2"/>
    <d v="2025-03-01T00:00:00"/>
    <d v="2025-03-31T00:00:00"/>
    <x v="1"/>
  </r>
  <r>
    <s v="SP268"/>
    <x v="2"/>
    <x v="217"/>
    <x v="2"/>
    <s v="Explore the latest podcasts now."/>
    <n v="2692"/>
    <n v="446"/>
    <n v="216"/>
    <n v="45818"/>
    <n v="62723"/>
    <n v="85"/>
    <x v="1"/>
    <x v="4"/>
    <x v="3"/>
    <n v="7.3202671439172376E-2"/>
    <d v="2024-06-15T00:00:00"/>
    <d v="2024-07-15T00:00:00"/>
    <x v="1"/>
  </r>
  <r>
    <s v="SP269"/>
    <x v="2"/>
    <x v="218"/>
    <x v="2"/>
    <s v="Music that moves youâ€”only on Spotify."/>
    <n v="4621"/>
    <n v="374"/>
    <n v="298"/>
    <n v="56979"/>
    <n v="24098"/>
    <n v="205"/>
    <x v="1"/>
    <x v="4"/>
    <x v="3"/>
    <n v="9.2893873181347508E-2"/>
    <d v="2024-06-15T00:00:00"/>
    <d v="2024-07-15T00:00:00"/>
    <x v="2"/>
  </r>
  <r>
    <s v="SP270"/>
    <x v="1"/>
    <x v="88"/>
    <x v="1"/>
    <s v="New music just dropped. Hit play!"/>
    <n v="1409"/>
    <n v="466"/>
    <n v="105"/>
    <n v="58923"/>
    <n v="38753"/>
    <n v="265"/>
    <x v="1"/>
    <x v="3"/>
    <x v="0"/>
    <n v="3.3603177027646251E-2"/>
    <d v="2025-01-10T00:00:00"/>
    <d v="2025-02-10T00:00:00"/>
    <x v="1"/>
  </r>
  <r>
    <s v="SP271"/>
    <x v="1"/>
    <x v="45"/>
    <x v="1"/>
    <s v="Discover fresh beats on Spotify!"/>
    <n v="3029"/>
    <n v="440"/>
    <n v="66"/>
    <n v="23815"/>
    <n v="47895"/>
    <n v="210"/>
    <x v="1"/>
    <x v="3"/>
    <x v="0"/>
    <n v="0.14843585975225698"/>
    <d v="2025-01-10T00:00:00"/>
    <d v="2025-02-10T00:00:00"/>
    <x v="2"/>
  </r>
  <r>
    <s v="SP272"/>
    <x v="1"/>
    <x v="19"/>
    <x v="0"/>
    <s v="Explore the latest podcasts now."/>
    <n v="2229"/>
    <n v="395"/>
    <n v="328"/>
    <n v="56921"/>
    <n v="37176"/>
    <n v="126"/>
    <x v="0"/>
    <x v="1"/>
    <x v="1"/>
    <n v="5.1861351697967357E-2"/>
    <d v="2025-03-01T00:00:00"/>
    <d v="2025-03-31T00:00:00"/>
    <x v="1"/>
  </r>
  <r>
    <s v="SP273"/>
    <x v="1"/>
    <x v="43"/>
    <x v="0"/>
    <s v="Explore the latest podcasts now."/>
    <n v="2691"/>
    <n v="486"/>
    <n v="206"/>
    <n v="51133"/>
    <n v="44583"/>
    <n v="276"/>
    <x v="3"/>
    <x v="1"/>
    <x v="0"/>
    <n v="6.6160796354604659E-2"/>
    <d v="2025-01-10T00:00:00"/>
    <d v="2025-02-10T00:00:00"/>
    <x v="1"/>
  </r>
  <r>
    <s v="SP274"/>
    <x v="0"/>
    <x v="12"/>
    <x v="0"/>
    <s v="Explore the latest podcasts now."/>
    <n v="2110"/>
    <n v="384"/>
    <n v="236"/>
    <n v="49965"/>
    <n v="61555"/>
    <n v="195"/>
    <x v="1"/>
    <x v="1"/>
    <x v="1"/>
    <n v="5.4638246772740921E-2"/>
    <d v="2025-03-01T00:00:00"/>
    <d v="2025-03-31T00:00:00"/>
    <x v="1"/>
  </r>
  <r>
    <s v="SP275"/>
    <x v="0"/>
    <x v="219"/>
    <x v="0"/>
    <s v="Wrapped is here! Relive your top tracks ðŸŽ§"/>
    <n v="4752"/>
    <n v="449"/>
    <n v="309"/>
    <n v="58530"/>
    <n v="26630"/>
    <n v="234"/>
    <x v="1"/>
    <x v="1"/>
    <x v="1"/>
    <n v="9.4139757389372969E-2"/>
    <d v="2025-03-01T00:00:00"/>
    <d v="2025-03-31T00:00:00"/>
    <x v="1"/>
  </r>
  <r>
    <s v="SP276"/>
    <x v="1"/>
    <x v="220"/>
    <x v="0"/>
    <s v="Discover fresh beats on Spotify!"/>
    <n v="2177"/>
    <n v="258"/>
    <n v="292"/>
    <n v="47276"/>
    <n v="51324"/>
    <n v="143"/>
    <x v="3"/>
    <x v="1"/>
    <x v="0"/>
    <n v="5.7682545054573146E-2"/>
    <d v="2025-01-10T00:00:00"/>
    <d v="2025-02-10T00:00:00"/>
    <x v="0"/>
  </r>
  <r>
    <s v="SP277"/>
    <x v="0"/>
    <x v="210"/>
    <x v="1"/>
    <s v="New music just dropped. Hit play!"/>
    <n v="1205"/>
    <n v="486"/>
    <n v="269"/>
    <n v="23341"/>
    <n v="42411"/>
    <n v="184"/>
    <x v="3"/>
    <x v="1"/>
    <x v="2"/>
    <n v="8.3972409065592737E-2"/>
    <d v="2024-12-01T00:00:00"/>
    <d v="2024-12-31T00:00:00"/>
    <x v="0"/>
  </r>
  <r>
    <s v="SP278"/>
    <x v="0"/>
    <x v="221"/>
    <x v="0"/>
    <s v="Top trending tracks updated daily!"/>
    <n v="3194"/>
    <n v="292"/>
    <n v="245"/>
    <n v="56371"/>
    <n v="65597"/>
    <n v="163"/>
    <x v="0"/>
    <x v="0"/>
    <x v="0"/>
    <n v="6.6186514342481059E-2"/>
    <d v="2025-01-10T00:00:00"/>
    <d v="2025-02-10T00:00:00"/>
    <x v="1"/>
  </r>
  <r>
    <s v="SP279"/>
    <x v="1"/>
    <x v="212"/>
    <x v="1"/>
    <s v="New music just dropped. Hit play!"/>
    <n v="3507"/>
    <n v="295"/>
    <n v="371"/>
    <n v="20410"/>
    <n v="53965"/>
    <n v="212"/>
    <x v="0"/>
    <x v="0"/>
    <x v="0"/>
    <n v="0.20445859872611466"/>
    <d v="2025-01-10T00:00:00"/>
    <d v="2025-02-10T00:00:00"/>
    <x v="2"/>
  </r>
  <r>
    <s v="SP280"/>
    <x v="1"/>
    <x v="124"/>
    <x v="1"/>
    <s v="Wrapped is here! Relive your top tracks ðŸŽ§"/>
    <n v="4471"/>
    <n v="317"/>
    <n v="249"/>
    <n v="44862"/>
    <n v="33365"/>
    <n v="184"/>
    <x v="1"/>
    <x v="3"/>
    <x v="0"/>
    <n v="0.1122776514644911"/>
    <d v="2025-01-10T00:00:00"/>
    <d v="2025-02-10T00:00:00"/>
    <x v="1"/>
  </r>
  <r>
    <s v="SP281"/>
    <x v="0"/>
    <x v="222"/>
    <x v="0"/>
    <s v="Top trending tracks updated daily!"/>
    <n v="4931"/>
    <n v="469"/>
    <n v="193"/>
    <n v="56701"/>
    <n v="69437"/>
    <n v="291"/>
    <x v="0"/>
    <x v="0"/>
    <x v="0"/>
    <n v="9.8640235621946709E-2"/>
    <d v="2025-01-10T00:00:00"/>
    <d v="2025-02-10T00:00:00"/>
    <x v="1"/>
  </r>
  <r>
    <s v="SP282"/>
    <x v="1"/>
    <x v="223"/>
    <x v="1"/>
    <s v="Get into the groove with our new drop!"/>
    <n v="2604"/>
    <n v="439"/>
    <n v="148"/>
    <n v="58468"/>
    <n v="39629"/>
    <n v="163"/>
    <x v="2"/>
    <x v="0"/>
    <x v="0"/>
    <n v="5.4576862557296296E-2"/>
    <d v="2025-01-10T00:00:00"/>
    <d v="2025-02-10T00:00:00"/>
    <x v="1"/>
  </r>
  <r>
    <s v="SP283"/>
    <x v="0"/>
    <x v="132"/>
    <x v="0"/>
    <s v="Music that moves youâ€”only on Spotify."/>
    <n v="4197"/>
    <n v="359"/>
    <n v="280"/>
    <n v="56048"/>
    <n v="70930"/>
    <n v="295"/>
    <x v="1"/>
    <x v="1"/>
    <x v="1"/>
    <n v="8.628318584070796E-2"/>
    <d v="2025-03-01T00:00:00"/>
    <d v="2025-03-31T00:00:00"/>
    <x v="1"/>
  </r>
  <r>
    <s v="SP284"/>
    <x v="0"/>
    <x v="224"/>
    <x v="1"/>
    <s v="Top trending tracks updated daily!"/>
    <n v="1914"/>
    <n v="255"/>
    <n v="156"/>
    <n v="27660"/>
    <n v="47776"/>
    <n v="111"/>
    <x v="3"/>
    <x v="1"/>
    <x v="2"/>
    <n v="8.4056399132321047E-2"/>
    <d v="2024-12-01T00:00:00"/>
    <d v="2024-12-31T00:00:00"/>
    <x v="1"/>
  </r>
  <r>
    <s v="SP285"/>
    <x v="2"/>
    <x v="225"/>
    <x v="0"/>
    <s v="New music just dropped. Hit play!"/>
    <n v="1334"/>
    <n v="357"/>
    <n v="257"/>
    <n v="56910"/>
    <n v="70606"/>
    <n v="228"/>
    <x v="1"/>
    <x v="2"/>
    <x v="1"/>
    <n v="3.4229485151994379E-2"/>
    <d v="2025-03-01T00:00:00"/>
    <d v="2025-03-31T00:00:00"/>
    <x v="1"/>
  </r>
  <r>
    <s v="SP286"/>
    <x v="0"/>
    <x v="98"/>
    <x v="0"/>
    <s v="Get into the groove with our new drop!"/>
    <n v="3359"/>
    <n v="137"/>
    <n v="387"/>
    <n v="33861"/>
    <n v="47257"/>
    <n v="198"/>
    <x v="1"/>
    <x v="1"/>
    <x v="1"/>
    <n v="0.11467469950680724"/>
    <d v="2025-03-01T00:00:00"/>
    <d v="2025-03-31T00:00:00"/>
    <x v="1"/>
  </r>
  <r>
    <s v="SP287"/>
    <x v="2"/>
    <x v="226"/>
    <x v="0"/>
    <s v="Your weekend playlist is waiting."/>
    <n v="2172"/>
    <n v="338"/>
    <n v="70"/>
    <n v="30515"/>
    <n v="57853"/>
    <n v="156"/>
    <x v="1"/>
    <x v="2"/>
    <x v="1"/>
    <n v="8.4548582664263475E-2"/>
    <d v="2025-03-01T00:00:00"/>
    <d v="2025-03-31T00:00:00"/>
    <x v="1"/>
  </r>
  <r>
    <s v="SP288"/>
    <x v="1"/>
    <x v="151"/>
    <x v="1"/>
    <s v="From pop to podcasts, itâ€™s all here."/>
    <n v="4877"/>
    <n v="442"/>
    <n v="236"/>
    <n v="52673"/>
    <n v="48241"/>
    <n v="114"/>
    <x v="1"/>
    <x v="3"/>
    <x v="0"/>
    <n v="0.10546200140489435"/>
    <d v="2025-01-10T00:00:00"/>
    <d v="2025-02-10T00:00:00"/>
    <x v="1"/>
  </r>
  <r>
    <s v="SP289"/>
    <x v="0"/>
    <x v="74"/>
    <x v="1"/>
    <s v="New music just dropped. Hit play!"/>
    <n v="4918"/>
    <n v="440"/>
    <n v="149"/>
    <n v="53269"/>
    <n v="64370"/>
    <n v="269"/>
    <x v="3"/>
    <x v="1"/>
    <x v="2"/>
    <n v="0.10338095327488783"/>
    <d v="2024-12-01T00:00:00"/>
    <d v="2024-12-31T00:00:00"/>
    <x v="0"/>
  </r>
  <r>
    <s v="SP290"/>
    <x v="1"/>
    <x v="227"/>
    <x v="0"/>
    <s v="Explore the latest podcasts now."/>
    <n v="3418"/>
    <n v="107"/>
    <n v="221"/>
    <n v="23927"/>
    <n v="26182"/>
    <n v="155"/>
    <x v="0"/>
    <x v="1"/>
    <x v="1"/>
    <n v="0.1565595352530614"/>
    <d v="2025-03-01T00:00:00"/>
    <d v="2025-03-31T00:00:00"/>
    <x v="1"/>
  </r>
  <r>
    <s v="SP291"/>
    <x v="0"/>
    <x v="228"/>
    <x v="0"/>
    <s v="Your weekend playlist is waiting."/>
    <n v="2088"/>
    <n v="490"/>
    <n v="124"/>
    <n v="46544"/>
    <n v="69346"/>
    <n v="178"/>
    <x v="0"/>
    <x v="0"/>
    <x v="0"/>
    <n v="5.8052595393606049E-2"/>
    <d v="2025-01-10T00:00:00"/>
    <d v="2025-02-10T00:00:00"/>
    <x v="1"/>
  </r>
  <r>
    <s v="SP292"/>
    <x v="1"/>
    <x v="59"/>
    <x v="1"/>
    <s v="Explore the latest podcasts now."/>
    <n v="3061"/>
    <n v="320"/>
    <n v="76"/>
    <n v="26640"/>
    <n v="24306"/>
    <n v="112"/>
    <x v="2"/>
    <x v="0"/>
    <x v="0"/>
    <n v="0.12976726726726726"/>
    <d v="2025-01-10T00:00:00"/>
    <d v="2025-02-10T00:00:00"/>
    <x v="1"/>
  </r>
  <r>
    <s v="SP293"/>
    <x v="2"/>
    <x v="229"/>
    <x v="2"/>
    <s v="Your weekend playlist is waiting."/>
    <n v="1265"/>
    <n v="230"/>
    <n v="364"/>
    <n v="41312"/>
    <n v="50382"/>
    <n v="106"/>
    <x v="1"/>
    <x v="4"/>
    <x v="3"/>
    <n v="4.4999031758326875E-2"/>
    <d v="2024-06-15T00:00:00"/>
    <d v="2024-07-15T00:00:00"/>
    <x v="0"/>
  </r>
  <r>
    <s v="SP294"/>
    <x v="0"/>
    <x v="230"/>
    <x v="0"/>
    <s v="From pop to podcasts, itâ€™s all here."/>
    <n v="1436"/>
    <n v="219"/>
    <n v="229"/>
    <n v="58488"/>
    <n v="24314"/>
    <n v="147"/>
    <x v="1"/>
    <x v="1"/>
    <x v="1"/>
    <n v="3.221173574066475E-2"/>
    <d v="2025-03-01T00:00:00"/>
    <d v="2025-03-31T00:00:00"/>
    <x v="1"/>
  </r>
  <r>
    <s v="SP295"/>
    <x v="0"/>
    <x v="231"/>
    <x v="1"/>
    <s v="Top trending tracks updated daily!"/>
    <n v="2244"/>
    <n v="392"/>
    <n v="231"/>
    <n v="25834"/>
    <n v="50906"/>
    <n v="165"/>
    <x v="3"/>
    <x v="1"/>
    <x v="2"/>
    <n v="0.1109777812185492"/>
    <d v="2024-12-01T00:00:00"/>
    <d v="2024-12-31T00:00:00"/>
    <x v="0"/>
  </r>
  <r>
    <s v="SP296"/>
    <x v="1"/>
    <x v="123"/>
    <x v="1"/>
    <s v="Your weekend playlist is waiting."/>
    <n v="3393"/>
    <n v="104"/>
    <n v="79"/>
    <n v="30025"/>
    <n v="21593"/>
    <n v="165"/>
    <x v="2"/>
    <x v="0"/>
    <x v="0"/>
    <n v="0.1191007493755204"/>
    <d v="2025-01-10T00:00:00"/>
    <d v="2025-02-10T00:00:00"/>
    <x v="0"/>
  </r>
  <r>
    <s v="SP297"/>
    <x v="1"/>
    <x v="213"/>
    <x v="0"/>
    <s v="Explore the latest podcasts now."/>
    <n v="2901"/>
    <n v="108"/>
    <n v="86"/>
    <n v="51777"/>
    <n v="23773"/>
    <n v="160"/>
    <x v="0"/>
    <x v="1"/>
    <x v="1"/>
    <n v="5.9775576027966085E-2"/>
    <d v="2025-03-01T00:00:00"/>
    <d v="2025-03-31T00:00:00"/>
    <x v="1"/>
  </r>
  <r>
    <s v="SP298"/>
    <x v="1"/>
    <x v="232"/>
    <x v="0"/>
    <s v="Whatâ€™s your vibe today? #SpotifyHits"/>
    <n v="2275"/>
    <n v="285"/>
    <n v="125"/>
    <n v="43970"/>
    <n v="74761"/>
    <n v="83"/>
    <x v="3"/>
    <x v="1"/>
    <x v="0"/>
    <n v="6.1064362065044349E-2"/>
    <d v="2025-01-10T00:00:00"/>
    <d v="2025-02-10T00:00:00"/>
    <x v="0"/>
  </r>
  <r>
    <s v="SP299"/>
    <x v="1"/>
    <x v="233"/>
    <x v="1"/>
    <s v="Wrapped is here! Relive your top tracks ðŸŽ§"/>
    <n v="2227"/>
    <n v="494"/>
    <n v="161"/>
    <n v="51651"/>
    <n v="68074"/>
    <n v="240"/>
    <x v="1"/>
    <x v="3"/>
    <x v="0"/>
    <n v="5.5797564422760453E-2"/>
    <d v="2025-01-10T00:00:00"/>
    <d v="2025-02-10T00:00:00"/>
    <x v="1"/>
  </r>
  <r>
    <s v="SP300"/>
    <x v="0"/>
    <x v="234"/>
    <x v="0"/>
    <s v="Music that moves youâ€”only on Spotify."/>
    <n v="1883"/>
    <n v="432"/>
    <n v="397"/>
    <n v="28759"/>
    <n v="18691"/>
    <n v="270"/>
    <x v="0"/>
    <x v="0"/>
    <x v="0"/>
    <n v="9.4300914496331587E-2"/>
    <d v="2025-01-10T00:00:00"/>
    <d v="2025-02-10T00:0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s v="Discover fresh beats on Spotify!"/>
    <n v="2414"/>
    <n v="245"/>
    <n v="137"/>
    <n v="21181"/>
    <n v="45292"/>
    <n v="133"/>
    <x v="0"/>
    <x v="0"/>
    <x v="0"/>
    <n v="0.13200509890939993"/>
  </r>
  <r>
    <x v="1"/>
    <x v="0"/>
    <x v="1"/>
    <x v="0"/>
    <s v="Explore the latest podcasts now."/>
    <n v="1934"/>
    <n v="210"/>
    <n v="393"/>
    <n v="29129"/>
    <n v="73287"/>
    <n v="273"/>
    <x v="1"/>
    <x v="1"/>
    <x v="1"/>
    <n v="8.7095334546328396E-2"/>
  </r>
  <r>
    <x v="2"/>
    <x v="1"/>
    <x v="2"/>
    <x v="1"/>
    <s v="New music just dropped. Hit play!"/>
    <n v="3092"/>
    <n v="177"/>
    <n v="81"/>
    <n v="47533"/>
    <n v="29220"/>
    <n v="121"/>
    <x v="2"/>
    <x v="0"/>
    <x v="0"/>
    <n v="7.0477352576105018E-2"/>
  </r>
  <r>
    <x v="3"/>
    <x v="0"/>
    <x v="2"/>
    <x v="0"/>
    <s v="Wrapped is here! Relive your top tracks ðŸŽ§"/>
    <n v="3173"/>
    <n v="229"/>
    <n v="197"/>
    <n v="29604"/>
    <n v="21809"/>
    <n v="272"/>
    <x v="0"/>
    <x v="0"/>
    <x v="0"/>
    <n v="0.1215714092690177"/>
  </r>
  <r>
    <x v="4"/>
    <x v="2"/>
    <x v="3"/>
    <x v="0"/>
    <s v="Music that moves youâ€”only on Spotify."/>
    <n v="2748"/>
    <n v="145"/>
    <n v="315"/>
    <n v="24401"/>
    <n v="61182"/>
    <n v="200"/>
    <x v="1"/>
    <x v="2"/>
    <x v="1"/>
    <n v="0.1314700217204213"/>
  </r>
  <r>
    <x v="5"/>
    <x v="2"/>
    <x v="4"/>
    <x v="0"/>
    <s v="Whatâ€™s your vibe today? #SpotifyHits"/>
    <n v="3882"/>
    <n v="239"/>
    <n v="275"/>
    <n v="58748"/>
    <n v="44646"/>
    <n v="149"/>
    <x v="1"/>
    <x v="2"/>
    <x v="1"/>
    <n v="7.4828079253761837E-2"/>
  </r>
  <r>
    <x v="6"/>
    <x v="1"/>
    <x v="5"/>
    <x v="1"/>
    <s v="Get into the groove with our new drop!"/>
    <n v="4674"/>
    <n v="409"/>
    <n v="327"/>
    <n v="20756"/>
    <n v="63599"/>
    <n v="212"/>
    <x v="0"/>
    <x v="0"/>
    <x v="0"/>
    <n v="0.26064752360763155"/>
  </r>
  <r>
    <x v="7"/>
    <x v="1"/>
    <x v="6"/>
    <x v="1"/>
    <s v="Wrapped is here! Relive your top tracks ðŸŽ§"/>
    <n v="1428"/>
    <n v="347"/>
    <n v="67"/>
    <n v="21148"/>
    <n v="19712"/>
    <n v="120"/>
    <x v="1"/>
    <x v="3"/>
    <x v="0"/>
    <n v="8.7100435029317191E-2"/>
  </r>
  <r>
    <x v="8"/>
    <x v="1"/>
    <x v="7"/>
    <x v="0"/>
    <s v="Top trending tracks updated daily!"/>
    <n v="4432"/>
    <n v="223"/>
    <n v="299"/>
    <n v="59016"/>
    <n v="21742"/>
    <n v="171"/>
    <x v="3"/>
    <x v="1"/>
    <x v="0"/>
    <n v="8.3943337400027115E-2"/>
  </r>
  <r>
    <x v="9"/>
    <x v="1"/>
    <x v="8"/>
    <x v="0"/>
    <s v="Wrapped is here! Relive your top tracks ðŸŽ§"/>
    <n v="2357"/>
    <n v="274"/>
    <n v="172"/>
    <n v="21566"/>
    <n v="66829"/>
    <n v="284"/>
    <x v="3"/>
    <x v="1"/>
    <x v="0"/>
    <n v="0.12997310581470833"/>
  </r>
  <r>
    <x v="10"/>
    <x v="1"/>
    <x v="9"/>
    <x v="0"/>
    <s v="Discover fresh beats on Spotify!"/>
    <n v="1971"/>
    <n v="370"/>
    <n v="306"/>
    <n v="31316"/>
    <n v="27897"/>
    <n v="88"/>
    <x v="0"/>
    <x v="1"/>
    <x v="1"/>
    <n v="8.4525482181632389E-2"/>
  </r>
  <r>
    <x v="11"/>
    <x v="0"/>
    <x v="10"/>
    <x v="0"/>
    <s v="Discover fresh beats on Spotify!"/>
    <n v="1485"/>
    <n v="353"/>
    <n v="244"/>
    <n v="38419"/>
    <n v="38556"/>
    <n v="86"/>
    <x v="0"/>
    <x v="0"/>
    <x v="0"/>
    <n v="5.4191936281527367E-2"/>
  </r>
  <r>
    <x v="12"/>
    <x v="1"/>
    <x v="11"/>
    <x v="1"/>
    <s v="Discover fresh beats on Spotify!"/>
    <n v="3956"/>
    <n v="319"/>
    <n v="61"/>
    <n v="58162"/>
    <n v="28720"/>
    <n v="213"/>
    <x v="2"/>
    <x v="0"/>
    <x v="0"/>
    <n v="7.4550393727863554E-2"/>
  </r>
  <r>
    <x v="13"/>
    <x v="1"/>
    <x v="12"/>
    <x v="0"/>
    <s v="From pop to podcasts, itâ€™s all here."/>
    <n v="2460"/>
    <n v="409"/>
    <n v="253"/>
    <n v="36702"/>
    <n v="46122"/>
    <n v="264"/>
    <x v="3"/>
    <x v="1"/>
    <x v="0"/>
    <n v="8.5063484278785892E-2"/>
  </r>
  <r>
    <x v="14"/>
    <x v="1"/>
    <x v="13"/>
    <x v="0"/>
    <s v="Your weekend playlist is waiting."/>
    <n v="3476"/>
    <n v="355"/>
    <n v="396"/>
    <n v="37492"/>
    <n v="27285"/>
    <n v="179"/>
    <x v="3"/>
    <x v="1"/>
    <x v="0"/>
    <n v="0.11274405206444041"/>
  </r>
  <r>
    <x v="15"/>
    <x v="1"/>
    <x v="14"/>
    <x v="1"/>
    <s v="New music just dropped. Hit play!"/>
    <n v="4049"/>
    <n v="377"/>
    <n v="94"/>
    <n v="48182"/>
    <n v="42875"/>
    <n v="172"/>
    <x v="2"/>
    <x v="0"/>
    <x v="0"/>
    <n v="9.3810966751068869E-2"/>
  </r>
  <r>
    <x v="16"/>
    <x v="1"/>
    <x v="15"/>
    <x v="0"/>
    <s v="Whatâ€™s your vibe today? #SpotifyHits"/>
    <n v="1514"/>
    <n v="164"/>
    <n v="275"/>
    <n v="41364"/>
    <n v="44389"/>
    <n v="83"/>
    <x v="3"/>
    <x v="1"/>
    <x v="0"/>
    <n v="4.7214969538729328E-2"/>
  </r>
  <r>
    <x v="17"/>
    <x v="0"/>
    <x v="16"/>
    <x v="1"/>
    <s v="Music that moves youâ€”only on Spotify."/>
    <n v="4281"/>
    <n v="101"/>
    <n v="163"/>
    <n v="32278"/>
    <n v="53382"/>
    <n v="235"/>
    <x v="3"/>
    <x v="1"/>
    <x v="2"/>
    <n v="0.1408079806679472"/>
  </r>
  <r>
    <x v="18"/>
    <x v="2"/>
    <x v="17"/>
    <x v="2"/>
    <s v="Get into the groove with our new drop!"/>
    <n v="1751"/>
    <n v="143"/>
    <n v="151"/>
    <n v="31826"/>
    <n v="47729"/>
    <n v="95"/>
    <x v="1"/>
    <x v="4"/>
    <x v="3"/>
    <n v="6.4255640042732362E-2"/>
  </r>
  <r>
    <x v="19"/>
    <x v="0"/>
    <x v="18"/>
    <x v="0"/>
    <s v="Your weekend playlist is waiting."/>
    <n v="3753"/>
    <n v="411"/>
    <n v="308"/>
    <n v="29138"/>
    <n v="27678"/>
    <n v="90"/>
    <x v="1"/>
    <x v="1"/>
    <x v="1"/>
    <n v="0.15347655981879332"/>
  </r>
  <r>
    <x v="20"/>
    <x v="0"/>
    <x v="19"/>
    <x v="1"/>
    <s v="Wrapped is here! Relive your top tracks ðŸŽ§"/>
    <n v="1678"/>
    <n v="423"/>
    <n v="323"/>
    <n v="55668"/>
    <n v="37945"/>
    <n v="230"/>
    <x v="3"/>
    <x v="1"/>
    <x v="2"/>
    <n v="4.3543867212761371E-2"/>
  </r>
  <r>
    <x v="21"/>
    <x v="0"/>
    <x v="7"/>
    <x v="0"/>
    <s v="Whatâ€™s your vibe today? #SpotifyHits"/>
    <n v="4896"/>
    <n v="466"/>
    <n v="233"/>
    <n v="28621"/>
    <n v="34270"/>
    <n v="84"/>
    <x v="0"/>
    <x v="0"/>
    <x v="0"/>
    <n v="0.19548583208133888"/>
  </r>
  <r>
    <x v="22"/>
    <x v="2"/>
    <x v="20"/>
    <x v="2"/>
    <s v="From pop to podcasts, itâ€™s all here."/>
    <n v="2786"/>
    <n v="368"/>
    <n v="208"/>
    <n v="42000"/>
    <n v="39967"/>
    <n v="103"/>
    <x v="1"/>
    <x v="4"/>
    <x v="3"/>
    <n v="8.0047619047619048E-2"/>
  </r>
  <r>
    <x v="23"/>
    <x v="1"/>
    <x v="21"/>
    <x v="0"/>
    <s v="New music just dropped. Hit play!"/>
    <n v="2607"/>
    <n v="379"/>
    <n v="180"/>
    <n v="28712"/>
    <n v="61620"/>
    <n v="174"/>
    <x v="0"/>
    <x v="1"/>
    <x v="1"/>
    <n v="0.11026748397882419"/>
  </r>
  <r>
    <x v="24"/>
    <x v="2"/>
    <x v="22"/>
    <x v="2"/>
    <s v="From pop to podcasts, itâ€™s all here."/>
    <n v="4013"/>
    <n v="320"/>
    <n v="92"/>
    <n v="54605"/>
    <n v="60169"/>
    <n v="232"/>
    <x v="1"/>
    <x v="4"/>
    <x v="3"/>
    <n v="8.1036535115831879E-2"/>
  </r>
  <r>
    <x v="25"/>
    <x v="1"/>
    <x v="23"/>
    <x v="1"/>
    <s v="From pop to podcasts, itâ€™s all here."/>
    <n v="2707"/>
    <n v="103"/>
    <n v="51"/>
    <n v="55302"/>
    <n v="18801"/>
    <n v="147"/>
    <x v="1"/>
    <x v="3"/>
    <x v="0"/>
    <n v="5.173411449857148E-2"/>
  </r>
  <r>
    <x v="26"/>
    <x v="0"/>
    <x v="24"/>
    <x v="0"/>
    <s v="Whatâ€™s your vibe today? #SpotifyHits"/>
    <n v="2824"/>
    <n v="425"/>
    <n v="274"/>
    <n v="31004"/>
    <n v="53488"/>
    <n v="268"/>
    <x v="0"/>
    <x v="0"/>
    <x v="0"/>
    <n v="0.11363049929041415"/>
  </r>
  <r>
    <x v="27"/>
    <x v="2"/>
    <x v="25"/>
    <x v="2"/>
    <s v="Explore the latest podcasts now."/>
    <n v="3558"/>
    <n v="314"/>
    <n v="199"/>
    <n v="49612"/>
    <n v="53929"/>
    <n v="206"/>
    <x v="1"/>
    <x v="4"/>
    <x v="3"/>
    <n v="8.205676046117874E-2"/>
  </r>
  <r>
    <x v="28"/>
    <x v="1"/>
    <x v="26"/>
    <x v="1"/>
    <s v="Explore the latest podcasts now."/>
    <n v="3418"/>
    <n v="188"/>
    <n v="387"/>
    <n v="57431"/>
    <n v="36933"/>
    <n v="202"/>
    <x v="2"/>
    <x v="0"/>
    <x v="0"/>
    <n v="6.9526910553533799E-2"/>
  </r>
  <r>
    <x v="29"/>
    <x v="1"/>
    <x v="27"/>
    <x v="0"/>
    <s v="Discover fresh beats on Spotify!"/>
    <n v="2411"/>
    <n v="194"/>
    <n v="168"/>
    <n v="26665"/>
    <n v="71699"/>
    <n v="197"/>
    <x v="3"/>
    <x v="1"/>
    <x v="0"/>
    <n v="0.10399399962497656"/>
  </r>
  <r>
    <x v="30"/>
    <x v="0"/>
    <x v="28"/>
    <x v="0"/>
    <s v="New music just dropped. Hit play!"/>
    <n v="4036"/>
    <n v="112"/>
    <n v="382"/>
    <n v="56284"/>
    <n v="29440"/>
    <n v="279"/>
    <x v="0"/>
    <x v="0"/>
    <x v="0"/>
    <n v="8.0484684812735408E-2"/>
  </r>
  <r>
    <x v="31"/>
    <x v="1"/>
    <x v="29"/>
    <x v="1"/>
    <s v="Explore the latest podcasts now."/>
    <n v="2776"/>
    <n v="307"/>
    <n v="178"/>
    <n v="43365"/>
    <n v="48408"/>
    <n v="138"/>
    <x v="0"/>
    <x v="0"/>
    <x v="0"/>
    <n v="7.519889311656866E-2"/>
  </r>
  <r>
    <x v="32"/>
    <x v="1"/>
    <x v="30"/>
    <x v="1"/>
    <s v="Discover fresh beats on Spotify!"/>
    <n v="4929"/>
    <n v="182"/>
    <n v="95"/>
    <n v="32181"/>
    <n v="31084"/>
    <n v="289"/>
    <x v="1"/>
    <x v="3"/>
    <x v="0"/>
    <n v="0.16177247444144061"/>
  </r>
  <r>
    <x v="33"/>
    <x v="0"/>
    <x v="31"/>
    <x v="0"/>
    <s v="New music just dropped. Hit play!"/>
    <n v="1015"/>
    <n v="366"/>
    <n v="308"/>
    <n v="38127"/>
    <n v="63790"/>
    <n v="287"/>
    <x v="0"/>
    <x v="0"/>
    <x v="0"/>
    <n v="4.4299315445747112E-2"/>
  </r>
  <r>
    <x v="34"/>
    <x v="1"/>
    <x v="32"/>
    <x v="1"/>
    <s v="Your weekend playlist is waiting."/>
    <n v="3316"/>
    <n v="332"/>
    <n v="268"/>
    <n v="40095"/>
    <n v="36913"/>
    <n v="265"/>
    <x v="2"/>
    <x v="0"/>
    <x v="0"/>
    <n v="9.7668038408779148E-2"/>
  </r>
  <r>
    <x v="35"/>
    <x v="0"/>
    <x v="33"/>
    <x v="0"/>
    <s v="Wrapped is here! Relive your top tracks ðŸŽ§"/>
    <n v="2274"/>
    <n v="243"/>
    <n v="222"/>
    <n v="43066"/>
    <n v="59174"/>
    <n v="80"/>
    <x v="1"/>
    <x v="1"/>
    <x v="1"/>
    <n v="6.3600055728416843E-2"/>
  </r>
  <r>
    <x v="36"/>
    <x v="1"/>
    <x v="34"/>
    <x v="1"/>
    <s v="Explore the latest podcasts now."/>
    <n v="4095"/>
    <n v="385"/>
    <n v="400"/>
    <n v="45300"/>
    <n v="31795"/>
    <n v="80"/>
    <x v="2"/>
    <x v="0"/>
    <x v="0"/>
    <n v="0.10772626931567329"/>
  </r>
  <r>
    <x v="37"/>
    <x v="0"/>
    <x v="35"/>
    <x v="1"/>
    <s v="New music just dropped. Hit play!"/>
    <n v="1230"/>
    <n v="309"/>
    <n v="207"/>
    <n v="44629"/>
    <n v="40699"/>
    <n v="195"/>
    <x v="3"/>
    <x v="1"/>
    <x v="2"/>
    <n v="3.9122543637545096E-2"/>
  </r>
  <r>
    <x v="38"/>
    <x v="0"/>
    <x v="36"/>
    <x v="0"/>
    <s v="From pop to podcasts, itâ€™s all here."/>
    <n v="1341"/>
    <n v="472"/>
    <n v="238"/>
    <n v="51386"/>
    <n v="51706"/>
    <n v="133"/>
    <x v="1"/>
    <x v="1"/>
    <x v="1"/>
    <n v="3.9913595142645857E-2"/>
  </r>
  <r>
    <x v="39"/>
    <x v="1"/>
    <x v="37"/>
    <x v="0"/>
    <s v="Explore the latest podcasts now."/>
    <n v="3615"/>
    <n v="192"/>
    <n v="162"/>
    <n v="27492"/>
    <n v="35341"/>
    <n v="125"/>
    <x v="3"/>
    <x v="1"/>
    <x v="0"/>
    <n v="0.14436927106067218"/>
  </r>
  <r>
    <x v="40"/>
    <x v="0"/>
    <x v="38"/>
    <x v="0"/>
    <s v="New music just dropped. Hit play!"/>
    <n v="4001"/>
    <n v="353"/>
    <n v="129"/>
    <n v="41265"/>
    <n v="37279"/>
    <n v="275"/>
    <x v="0"/>
    <x v="0"/>
    <x v="0"/>
    <n v="0.10863928268508422"/>
  </r>
  <r>
    <x v="41"/>
    <x v="0"/>
    <x v="39"/>
    <x v="1"/>
    <s v="Whatâ€™s your vibe today? #SpotifyHits"/>
    <n v="3451"/>
    <n v="363"/>
    <n v="393"/>
    <n v="44853"/>
    <n v="69032"/>
    <n v="211"/>
    <x v="3"/>
    <x v="1"/>
    <x v="2"/>
    <n v="9.379528682585335E-2"/>
  </r>
  <r>
    <x v="42"/>
    <x v="0"/>
    <x v="40"/>
    <x v="0"/>
    <s v="Top trending tracks updated daily!"/>
    <n v="4891"/>
    <n v="450"/>
    <n v="387"/>
    <n v="48746"/>
    <n v="37312"/>
    <n v="154"/>
    <x v="0"/>
    <x v="0"/>
    <x v="0"/>
    <n v="0.11750707750379519"/>
  </r>
  <r>
    <x v="43"/>
    <x v="0"/>
    <x v="41"/>
    <x v="0"/>
    <s v="New music just dropped. Hit play!"/>
    <n v="1452"/>
    <n v="281"/>
    <n v="326"/>
    <n v="51556"/>
    <n v="62599"/>
    <n v="290"/>
    <x v="1"/>
    <x v="1"/>
    <x v="1"/>
    <n v="3.9937155714174881E-2"/>
  </r>
  <r>
    <x v="44"/>
    <x v="2"/>
    <x v="42"/>
    <x v="0"/>
    <s v="Your weekend playlist is waiting."/>
    <n v="3806"/>
    <n v="114"/>
    <n v="278"/>
    <n v="36148"/>
    <n v="24209"/>
    <n v="201"/>
    <x v="1"/>
    <x v="2"/>
    <x v="1"/>
    <n v="0.11613367267898639"/>
  </r>
  <r>
    <x v="45"/>
    <x v="0"/>
    <x v="43"/>
    <x v="0"/>
    <s v="Explore the latest podcasts now."/>
    <n v="2923"/>
    <n v="330"/>
    <n v="250"/>
    <n v="23993"/>
    <n v="74590"/>
    <n v="92"/>
    <x v="1"/>
    <x v="1"/>
    <x v="1"/>
    <n v="0.14600091693410577"/>
  </r>
  <r>
    <x v="46"/>
    <x v="2"/>
    <x v="44"/>
    <x v="2"/>
    <s v="From pop to podcasts, itâ€™s all here."/>
    <n v="3361"/>
    <n v="188"/>
    <n v="358"/>
    <n v="39838"/>
    <n v="24536"/>
    <n v="120"/>
    <x v="1"/>
    <x v="4"/>
    <x v="3"/>
    <n v="9.8072192379135503E-2"/>
  </r>
  <r>
    <x v="47"/>
    <x v="0"/>
    <x v="45"/>
    <x v="1"/>
    <s v="Music that moves youâ€”only on Spotify."/>
    <n v="3074"/>
    <n v="371"/>
    <n v="348"/>
    <n v="24104"/>
    <n v="57803"/>
    <n v="213"/>
    <x v="3"/>
    <x v="1"/>
    <x v="2"/>
    <n v="0.15735977431131762"/>
  </r>
  <r>
    <x v="48"/>
    <x v="1"/>
    <x v="46"/>
    <x v="1"/>
    <s v="Get into the groove with our new drop!"/>
    <n v="4276"/>
    <n v="227"/>
    <n v="223"/>
    <n v="43443"/>
    <n v="41005"/>
    <n v="191"/>
    <x v="1"/>
    <x v="3"/>
    <x v="0"/>
    <n v="0.1087862256289851"/>
  </r>
  <r>
    <x v="49"/>
    <x v="1"/>
    <x v="47"/>
    <x v="0"/>
    <s v="Discover fresh beats on Spotify!"/>
    <n v="4401"/>
    <n v="421"/>
    <n v="216"/>
    <n v="24890"/>
    <n v="54361"/>
    <n v="148"/>
    <x v="3"/>
    <x v="1"/>
    <x v="0"/>
    <n v="0.20241060666934513"/>
  </r>
  <r>
    <x v="50"/>
    <x v="2"/>
    <x v="48"/>
    <x v="2"/>
    <s v="Explore the latest podcasts now."/>
    <n v="4161"/>
    <n v="481"/>
    <n v="61"/>
    <n v="45884"/>
    <n v="48955"/>
    <n v="215"/>
    <x v="1"/>
    <x v="4"/>
    <x v="3"/>
    <n v="0.10249760265016128"/>
  </r>
  <r>
    <x v="51"/>
    <x v="1"/>
    <x v="49"/>
    <x v="1"/>
    <s v="New music just dropped. Hit play!"/>
    <n v="2613"/>
    <n v="455"/>
    <n v="228"/>
    <n v="21645"/>
    <n v="61334"/>
    <n v="261"/>
    <x v="1"/>
    <x v="3"/>
    <x v="0"/>
    <n v="0.15227535227535227"/>
  </r>
  <r>
    <x v="52"/>
    <x v="1"/>
    <x v="50"/>
    <x v="1"/>
    <s v="Whatâ€™s your vibe today? #SpotifyHits"/>
    <n v="2842"/>
    <n v="213"/>
    <n v="331"/>
    <n v="57660"/>
    <n v="68606"/>
    <n v="87"/>
    <x v="2"/>
    <x v="0"/>
    <x v="0"/>
    <n v="5.8723551855705859E-2"/>
  </r>
  <r>
    <x v="53"/>
    <x v="0"/>
    <x v="51"/>
    <x v="0"/>
    <s v="Get into the groove with our new drop!"/>
    <n v="4851"/>
    <n v="460"/>
    <n v="212"/>
    <n v="58075"/>
    <n v="59574"/>
    <n v="239"/>
    <x v="1"/>
    <x v="1"/>
    <x v="1"/>
    <n v="9.5101162290142052E-2"/>
  </r>
  <r>
    <x v="54"/>
    <x v="1"/>
    <x v="52"/>
    <x v="0"/>
    <s v="Explore the latest podcasts now."/>
    <n v="1828"/>
    <n v="450"/>
    <n v="214"/>
    <n v="52115"/>
    <n v="19166"/>
    <n v="190"/>
    <x v="3"/>
    <x v="1"/>
    <x v="0"/>
    <n v="4.781732706514439E-2"/>
  </r>
  <r>
    <x v="55"/>
    <x v="0"/>
    <x v="53"/>
    <x v="1"/>
    <s v="From pop to podcasts, itâ€™s all here."/>
    <n v="2422"/>
    <n v="455"/>
    <n v="376"/>
    <n v="23428"/>
    <n v="46775"/>
    <n v="259"/>
    <x v="3"/>
    <x v="1"/>
    <x v="2"/>
    <n v="0.13885094758408742"/>
  </r>
  <r>
    <x v="56"/>
    <x v="0"/>
    <x v="54"/>
    <x v="0"/>
    <s v="Top trending tracks updated daily!"/>
    <n v="2683"/>
    <n v="405"/>
    <n v="223"/>
    <n v="31233"/>
    <n v="58106"/>
    <n v="291"/>
    <x v="1"/>
    <x v="1"/>
    <x v="1"/>
    <n v="0.10600966926007749"/>
  </r>
  <r>
    <x v="57"/>
    <x v="2"/>
    <x v="55"/>
    <x v="0"/>
    <s v="Top trending tracks updated daily!"/>
    <n v="3135"/>
    <n v="110"/>
    <n v="215"/>
    <n v="39192"/>
    <n v="24744"/>
    <n v="177"/>
    <x v="1"/>
    <x v="2"/>
    <x v="1"/>
    <n v="8.8283323127168814E-2"/>
  </r>
  <r>
    <x v="58"/>
    <x v="2"/>
    <x v="56"/>
    <x v="0"/>
    <s v="From pop to podcasts, itâ€™s all here."/>
    <n v="1105"/>
    <n v="181"/>
    <n v="55"/>
    <n v="53581"/>
    <n v="74048"/>
    <n v="220"/>
    <x v="1"/>
    <x v="2"/>
    <x v="1"/>
    <n v="2.50275284149232E-2"/>
  </r>
  <r>
    <x v="59"/>
    <x v="2"/>
    <x v="57"/>
    <x v="0"/>
    <s v="Discover fresh beats on Spotify!"/>
    <n v="4674"/>
    <n v="326"/>
    <n v="62"/>
    <n v="45503"/>
    <n v="46814"/>
    <n v="116"/>
    <x v="1"/>
    <x v="2"/>
    <x v="1"/>
    <n v="0.11124541239039185"/>
  </r>
  <r>
    <x v="60"/>
    <x v="2"/>
    <x v="58"/>
    <x v="2"/>
    <s v="Explore the latest podcasts now."/>
    <n v="3437"/>
    <n v="129"/>
    <n v="359"/>
    <n v="44558"/>
    <n v="30854"/>
    <n v="171"/>
    <x v="1"/>
    <x v="4"/>
    <x v="3"/>
    <n v="8.8087436599488311E-2"/>
  </r>
  <r>
    <x v="61"/>
    <x v="1"/>
    <x v="59"/>
    <x v="1"/>
    <s v="Wrapped is here! Relive your top tracks ðŸŽ§"/>
    <n v="1959"/>
    <n v="316"/>
    <n v="82"/>
    <n v="54036"/>
    <n v="69015"/>
    <n v="182"/>
    <x v="2"/>
    <x v="0"/>
    <x v="0"/>
    <n v="4.3619068768968837E-2"/>
  </r>
  <r>
    <x v="62"/>
    <x v="1"/>
    <x v="60"/>
    <x v="0"/>
    <s v="New music just dropped. Hit play!"/>
    <n v="1035"/>
    <n v="137"/>
    <n v="184"/>
    <n v="37302"/>
    <n v="68953"/>
    <n v="237"/>
    <x v="0"/>
    <x v="1"/>
    <x v="1"/>
    <n v="3.6351938233874857E-2"/>
  </r>
  <r>
    <x v="63"/>
    <x v="1"/>
    <x v="61"/>
    <x v="1"/>
    <s v="New music just dropped. Hit play!"/>
    <n v="4478"/>
    <n v="101"/>
    <n v="121"/>
    <n v="51035"/>
    <n v="58207"/>
    <n v="205"/>
    <x v="2"/>
    <x v="0"/>
    <x v="0"/>
    <n v="9.2093661212893113E-2"/>
  </r>
  <r>
    <x v="64"/>
    <x v="2"/>
    <x v="62"/>
    <x v="0"/>
    <s v="From pop to podcasts, itâ€™s all here."/>
    <n v="1488"/>
    <n v="327"/>
    <n v="110"/>
    <n v="53805"/>
    <n v="30239"/>
    <n v="109"/>
    <x v="1"/>
    <x v="2"/>
    <x v="1"/>
    <n v="3.5777344113000653E-2"/>
  </r>
  <r>
    <x v="65"/>
    <x v="0"/>
    <x v="63"/>
    <x v="0"/>
    <s v="Wrapped is here! Relive your top tracks ðŸŽ§"/>
    <n v="4836"/>
    <n v="331"/>
    <n v="140"/>
    <n v="58792"/>
    <n v="47711"/>
    <n v="227"/>
    <x v="0"/>
    <x v="0"/>
    <x v="0"/>
    <n v="9.0267383317458164E-2"/>
  </r>
  <r>
    <x v="66"/>
    <x v="2"/>
    <x v="64"/>
    <x v="2"/>
    <s v="Your weekend playlist is waiting."/>
    <n v="4563"/>
    <n v="488"/>
    <n v="356"/>
    <n v="30619"/>
    <n v="23328"/>
    <n v="267"/>
    <x v="1"/>
    <x v="4"/>
    <x v="3"/>
    <n v="0.17658969920637513"/>
  </r>
  <r>
    <x v="67"/>
    <x v="1"/>
    <x v="65"/>
    <x v="0"/>
    <s v="Music that moves youâ€”only on Spotify."/>
    <n v="3276"/>
    <n v="421"/>
    <n v="114"/>
    <n v="20580"/>
    <n v="30324"/>
    <n v="221"/>
    <x v="0"/>
    <x v="1"/>
    <x v="1"/>
    <n v="0.18517978620019437"/>
  </r>
  <r>
    <x v="68"/>
    <x v="1"/>
    <x v="66"/>
    <x v="1"/>
    <s v="Music that moves youâ€”only on Spotify."/>
    <n v="1316"/>
    <n v="472"/>
    <n v="286"/>
    <n v="44692"/>
    <n v="53343"/>
    <n v="227"/>
    <x v="1"/>
    <x v="3"/>
    <x v="0"/>
    <n v="4.6406515707509172E-2"/>
  </r>
  <r>
    <x v="69"/>
    <x v="1"/>
    <x v="67"/>
    <x v="0"/>
    <s v="Wrapped is here! Relive your top tracks ðŸŽ§"/>
    <n v="4811"/>
    <n v="473"/>
    <n v="254"/>
    <n v="51964"/>
    <n v="68795"/>
    <n v="107"/>
    <x v="3"/>
    <x v="1"/>
    <x v="0"/>
    <n v="0.10657378184897237"/>
  </r>
  <r>
    <x v="70"/>
    <x v="1"/>
    <x v="68"/>
    <x v="0"/>
    <s v="Whatâ€™s your vibe today? #SpotifyHits"/>
    <n v="4218"/>
    <n v="247"/>
    <n v="183"/>
    <n v="28914"/>
    <n v="18310"/>
    <n v="135"/>
    <x v="0"/>
    <x v="1"/>
    <x v="1"/>
    <n v="0.1607525766064882"/>
  </r>
  <r>
    <x v="71"/>
    <x v="0"/>
    <x v="69"/>
    <x v="0"/>
    <s v="From pop to podcasts, itâ€™s all here."/>
    <n v="1360"/>
    <n v="249"/>
    <n v="52"/>
    <n v="20368"/>
    <n v="42152"/>
    <n v="193"/>
    <x v="1"/>
    <x v="1"/>
    <x v="1"/>
    <n v="8.1549489395129612E-2"/>
  </r>
  <r>
    <x v="72"/>
    <x v="2"/>
    <x v="70"/>
    <x v="2"/>
    <s v="Discover fresh beats on Spotify!"/>
    <n v="1085"/>
    <n v="496"/>
    <n v="320"/>
    <n v="36528"/>
    <n v="38599"/>
    <n v="270"/>
    <x v="1"/>
    <x v="4"/>
    <x v="3"/>
    <n v="5.2042268944371438E-2"/>
  </r>
  <r>
    <x v="73"/>
    <x v="1"/>
    <x v="71"/>
    <x v="1"/>
    <s v="Get into the groove with our new drop!"/>
    <n v="1763"/>
    <n v="206"/>
    <n v="187"/>
    <n v="53342"/>
    <n v="25095"/>
    <n v="88"/>
    <x v="1"/>
    <x v="3"/>
    <x v="0"/>
    <n v="4.0418432004799221E-2"/>
  </r>
  <r>
    <x v="74"/>
    <x v="1"/>
    <x v="72"/>
    <x v="1"/>
    <s v="From pop to podcasts, itâ€™s all here."/>
    <n v="1554"/>
    <n v="455"/>
    <n v="158"/>
    <n v="41947"/>
    <n v="48578"/>
    <n v="101"/>
    <x v="0"/>
    <x v="0"/>
    <x v="0"/>
    <n v="5.1660428636136076E-2"/>
  </r>
  <r>
    <x v="75"/>
    <x v="0"/>
    <x v="42"/>
    <x v="0"/>
    <s v="Wrapped is here! Relive your top tracks ðŸŽ§"/>
    <n v="2464"/>
    <n v="401"/>
    <n v="78"/>
    <n v="38665"/>
    <n v="73593"/>
    <n v="207"/>
    <x v="1"/>
    <x v="1"/>
    <x v="1"/>
    <n v="7.611534979956032E-2"/>
  </r>
  <r>
    <x v="76"/>
    <x v="1"/>
    <x v="73"/>
    <x v="0"/>
    <s v="From pop to podcasts, itâ€™s all here."/>
    <n v="2418"/>
    <n v="161"/>
    <n v="360"/>
    <n v="30589"/>
    <n v="41383"/>
    <n v="88"/>
    <x v="3"/>
    <x v="1"/>
    <x v="0"/>
    <n v="9.6080290300434801E-2"/>
  </r>
  <r>
    <x v="77"/>
    <x v="1"/>
    <x v="74"/>
    <x v="1"/>
    <s v="Discover fresh beats on Spotify!"/>
    <n v="2494"/>
    <n v="494"/>
    <n v="55"/>
    <n v="22580"/>
    <n v="22214"/>
    <n v="109"/>
    <x v="2"/>
    <x v="0"/>
    <x v="0"/>
    <n v="0.13476527900797167"/>
  </r>
  <r>
    <x v="78"/>
    <x v="2"/>
    <x v="75"/>
    <x v="2"/>
    <s v="New music just dropped. Hit play!"/>
    <n v="4781"/>
    <n v="191"/>
    <n v="122"/>
    <n v="35535"/>
    <n v="50777"/>
    <n v="128"/>
    <x v="1"/>
    <x v="4"/>
    <x v="3"/>
    <n v="0.14335162515829464"/>
  </r>
  <r>
    <x v="79"/>
    <x v="0"/>
    <x v="76"/>
    <x v="0"/>
    <s v="Music that moves youâ€”only on Spotify."/>
    <n v="2284"/>
    <n v="187"/>
    <n v="260"/>
    <n v="37400"/>
    <n v="65014"/>
    <n v="157"/>
    <x v="0"/>
    <x v="0"/>
    <x v="0"/>
    <n v="7.3021390374331557E-2"/>
  </r>
  <r>
    <x v="80"/>
    <x v="1"/>
    <x v="77"/>
    <x v="0"/>
    <s v="Get into the groove with our new drop!"/>
    <n v="4234"/>
    <n v="486"/>
    <n v="276"/>
    <n v="56623"/>
    <n v="41343"/>
    <n v="184"/>
    <x v="0"/>
    <x v="1"/>
    <x v="1"/>
    <n v="8.8232696960599044E-2"/>
  </r>
  <r>
    <x v="81"/>
    <x v="0"/>
    <x v="78"/>
    <x v="0"/>
    <s v="Your weekend playlist is waiting."/>
    <n v="2102"/>
    <n v="181"/>
    <n v="306"/>
    <n v="43650"/>
    <n v="50079"/>
    <n v="182"/>
    <x v="1"/>
    <x v="1"/>
    <x v="1"/>
    <n v="5.9312714776632303E-2"/>
  </r>
  <r>
    <x v="82"/>
    <x v="1"/>
    <x v="79"/>
    <x v="1"/>
    <s v="Get into the groove with our new drop!"/>
    <n v="4845"/>
    <n v="158"/>
    <n v="84"/>
    <n v="34578"/>
    <n v="51480"/>
    <n v="180"/>
    <x v="0"/>
    <x v="0"/>
    <x v="0"/>
    <n v="0.1471166637746544"/>
  </r>
  <r>
    <x v="83"/>
    <x v="1"/>
    <x v="80"/>
    <x v="0"/>
    <s v="Your weekend playlist is waiting."/>
    <n v="4247"/>
    <n v="390"/>
    <n v="213"/>
    <n v="29785"/>
    <n v="57768"/>
    <n v="122"/>
    <x v="3"/>
    <x v="1"/>
    <x v="0"/>
    <n v="0.16283364109451065"/>
  </r>
  <r>
    <x v="84"/>
    <x v="0"/>
    <x v="81"/>
    <x v="0"/>
    <s v="Explore the latest podcasts now."/>
    <n v="2965"/>
    <n v="328"/>
    <n v="171"/>
    <n v="57685"/>
    <n v="67536"/>
    <n v="264"/>
    <x v="0"/>
    <x v="0"/>
    <x v="0"/>
    <n v="6.0050273034584378E-2"/>
  </r>
  <r>
    <x v="85"/>
    <x v="1"/>
    <x v="23"/>
    <x v="1"/>
    <s v="Wrapped is here! Relive your top tracks ðŸŽ§"/>
    <n v="1371"/>
    <n v="139"/>
    <n v="96"/>
    <n v="36140"/>
    <n v="39395"/>
    <n v="169"/>
    <x v="0"/>
    <x v="0"/>
    <x v="0"/>
    <n v="4.4438295517432211E-2"/>
  </r>
  <r>
    <x v="86"/>
    <x v="1"/>
    <x v="82"/>
    <x v="1"/>
    <s v="Discover fresh beats on Spotify!"/>
    <n v="2683"/>
    <n v="496"/>
    <n v="89"/>
    <n v="53435"/>
    <n v="30334"/>
    <n v="160"/>
    <x v="0"/>
    <x v="0"/>
    <x v="0"/>
    <n v="6.1158416768035934E-2"/>
  </r>
  <r>
    <x v="87"/>
    <x v="1"/>
    <x v="83"/>
    <x v="1"/>
    <s v="Whatâ€™s your vibe today? #SpotifyHits"/>
    <n v="4796"/>
    <n v="427"/>
    <n v="339"/>
    <n v="30752"/>
    <n v="33870"/>
    <n v="298"/>
    <x v="0"/>
    <x v="0"/>
    <x v="0"/>
    <n v="0.18086628511966701"/>
  </r>
  <r>
    <x v="88"/>
    <x v="0"/>
    <x v="8"/>
    <x v="0"/>
    <s v="Wrapped is here! Relive your top tracks ðŸŽ§"/>
    <n v="2601"/>
    <n v="336"/>
    <n v="260"/>
    <n v="32368"/>
    <n v="49028"/>
    <n v="120"/>
    <x v="0"/>
    <x v="0"/>
    <x v="0"/>
    <n v="9.8770390509144837E-2"/>
  </r>
  <r>
    <x v="89"/>
    <x v="1"/>
    <x v="84"/>
    <x v="1"/>
    <s v="Wrapped is here! Relive your top tracks ðŸŽ§"/>
    <n v="3336"/>
    <n v="229"/>
    <n v="337"/>
    <n v="22117"/>
    <n v="26205"/>
    <n v="160"/>
    <x v="2"/>
    <x v="0"/>
    <x v="0"/>
    <n v="0.17642537414658407"/>
  </r>
  <r>
    <x v="90"/>
    <x v="1"/>
    <x v="85"/>
    <x v="0"/>
    <s v="Explore the latest podcasts now."/>
    <n v="1165"/>
    <n v="294"/>
    <n v="163"/>
    <n v="20659"/>
    <n v="45926"/>
    <n v="111"/>
    <x v="0"/>
    <x v="1"/>
    <x v="1"/>
    <n v="7.8512996756861422E-2"/>
  </r>
  <r>
    <x v="91"/>
    <x v="2"/>
    <x v="86"/>
    <x v="2"/>
    <s v="Explore the latest podcasts now."/>
    <n v="1948"/>
    <n v="155"/>
    <n v="315"/>
    <n v="30321"/>
    <n v="57121"/>
    <n v="82"/>
    <x v="1"/>
    <x v="4"/>
    <x v="3"/>
    <n v="7.974671020085089E-2"/>
  </r>
  <r>
    <x v="92"/>
    <x v="0"/>
    <x v="87"/>
    <x v="0"/>
    <s v="From pop to podcasts, itâ€™s all here."/>
    <n v="1100"/>
    <n v="229"/>
    <n v="312"/>
    <n v="25641"/>
    <n v="34601"/>
    <n v="169"/>
    <x v="1"/>
    <x v="1"/>
    <x v="1"/>
    <n v="6.3999063999063993E-2"/>
  </r>
  <r>
    <x v="93"/>
    <x v="1"/>
    <x v="88"/>
    <x v="1"/>
    <s v="Top trending tracks updated daily!"/>
    <n v="4628"/>
    <n v="257"/>
    <n v="397"/>
    <n v="36686"/>
    <n v="54683"/>
    <n v="98"/>
    <x v="0"/>
    <x v="0"/>
    <x v="0"/>
    <n v="0.1439786294499264"/>
  </r>
  <r>
    <x v="94"/>
    <x v="0"/>
    <x v="89"/>
    <x v="1"/>
    <s v="Discover fresh beats on Spotify!"/>
    <n v="2319"/>
    <n v="484"/>
    <n v="193"/>
    <n v="21202"/>
    <n v="18091"/>
    <n v="241"/>
    <x v="3"/>
    <x v="1"/>
    <x v="2"/>
    <n v="0.14130742382794076"/>
  </r>
  <r>
    <x v="95"/>
    <x v="1"/>
    <x v="90"/>
    <x v="1"/>
    <s v="Wrapped is here! Relive your top tracks ðŸŽ§"/>
    <n v="2895"/>
    <n v="292"/>
    <n v="90"/>
    <n v="24223"/>
    <n v="54626"/>
    <n v="114"/>
    <x v="0"/>
    <x v="0"/>
    <x v="0"/>
    <n v="0.13528464682326713"/>
  </r>
  <r>
    <x v="96"/>
    <x v="0"/>
    <x v="91"/>
    <x v="0"/>
    <s v="Whatâ€™s your vibe today? #SpotifyHits"/>
    <n v="3878"/>
    <n v="431"/>
    <n v="97"/>
    <n v="41763"/>
    <n v="29729"/>
    <n v="191"/>
    <x v="1"/>
    <x v="1"/>
    <x v="1"/>
    <n v="0.10550008380623997"/>
  </r>
  <r>
    <x v="97"/>
    <x v="1"/>
    <x v="92"/>
    <x v="1"/>
    <s v="Get into the groove with our new drop!"/>
    <n v="4969"/>
    <n v="433"/>
    <n v="237"/>
    <n v="59552"/>
    <n v="23885"/>
    <n v="157"/>
    <x v="1"/>
    <x v="3"/>
    <x v="0"/>
    <n v="9.4690354648038683E-2"/>
  </r>
  <r>
    <x v="98"/>
    <x v="1"/>
    <x v="93"/>
    <x v="0"/>
    <s v="Wrapped is here! Relive your top tracks ðŸŽ§"/>
    <n v="1984"/>
    <n v="481"/>
    <n v="356"/>
    <n v="40681"/>
    <n v="63111"/>
    <n v="258"/>
    <x v="3"/>
    <x v="1"/>
    <x v="0"/>
    <n v="6.934441139598338E-2"/>
  </r>
  <r>
    <x v="99"/>
    <x v="0"/>
    <x v="94"/>
    <x v="0"/>
    <s v="Discover fresh beats on Spotify!"/>
    <n v="3004"/>
    <n v="415"/>
    <n v="218"/>
    <n v="36090"/>
    <n v="37073"/>
    <n v="181"/>
    <x v="1"/>
    <x v="1"/>
    <x v="1"/>
    <n v="0.10077583818232197"/>
  </r>
  <r>
    <x v="100"/>
    <x v="1"/>
    <x v="95"/>
    <x v="0"/>
    <s v="Get into the groove with our new drop!"/>
    <n v="3169"/>
    <n v="386"/>
    <n v="175"/>
    <n v="45012"/>
    <n v="38508"/>
    <n v="218"/>
    <x v="3"/>
    <x v="1"/>
    <x v="0"/>
    <n v="8.2866791077934779E-2"/>
  </r>
  <r>
    <x v="101"/>
    <x v="1"/>
    <x v="96"/>
    <x v="0"/>
    <s v="Discover fresh beats on Spotify!"/>
    <n v="3036"/>
    <n v="293"/>
    <n v="115"/>
    <n v="23776"/>
    <n v="46386"/>
    <n v="282"/>
    <x v="3"/>
    <x v="1"/>
    <x v="0"/>
    <n v="0.14485195154777927"/>
  </r>
  <r>
    <x v="102"/>
    <x v="0"/>
    <x v="97"/>
    <x v="0"/>
    <s v="Music that moves youâ€”only on Spotify."/>
    <n v="1830"/>
    <n v="112"/>
    <n v="181"/>
    <n v="31870"/>
    <n v="55742"/>
    <n v="263"/>
    <x v="0"/>
    <x v="0"/>
    <x v="0"/>
    <n v="6.6614370881706936E-2"/>
  </r>
  <r>
    <x v="103"/>
    <x v="1"/>
    <x v="98"/>
    <x v="1"/>
    <s v="Whatâ€™s your vibe today? #SpotifyHits"/>
    <n v="2587"/>
    <n v="447"/>
    <n v="183"/>
    <n v="36266"/>
    <n v="32877"/>
    <n v="132"/>
    <x v="1"/>
    <x v="3"/>
    <x v="0"/>
    <n v="8.8705674736667947E-2"/>
  </r>
  <r>
    <x v="104"/>
    <x v="1"/>
    <x v="99"/>
    <x v="0"/>
    <s v="Discover fresh beats on Spotify!"/>
    <n v="2878"/>
    <n v="265"/>
    <n v="91"/>
    <n v="52090"/>
    <n v="28924"/>
    <n v="133"/>
    <x v="3"/>
    <x v="1"/>
    <x v="0"/>
    <n v="6.2084853138798232E-2"/>
  </r>
  <r>
    <x v="105"/>
    <x v="1"/>
    <x v="100"/>
    <x v="1"/>
    <s v="New music just dropped. Hit play!"/>
    <n v="4619"/>
    <n v="272"/>
    <n v="57"/>
    <n v="21334"/>
    <n v="46292"/>
    <n v="91"/>
    <x v="0"/>
    <x v="0"/>
    <x v="0"/>
    <n v="0.23193025217961938"/>
  </r>
  <r>
    <x v="106"/>
    <x v="1"/>
    <x v="101"/>
    <x v="0"/>
    <s v="Music that moves youâ€”only on Spotify."/>
    <n v="4090"/>
    <n v="209"/>
    <n v="278"/>
    <n v="52853"/>
    <n v="57084"/>
    <n v="102"/>
    <x v="0"/>
    <x v="1"/>
    <x v="1"/>
    <n v="8.6598679355949518E-2"/>
  </r>
  <r>
    <x v="107"/>
    <x v="2"/>
    <x v="102"/>
    <x v="2"/>
    <s v="Music that moves youâ€”only on Spotify."/>
    <n v="3882"/>
    <n v="342"/>
    <n v="374"/>
    <n v="41991"/>
    <n v="48554"/>
    <n v="118"/>
    <x v="1"/>
    <x v="4"/>
    <x v="3"/>
    <n v="0.10949965468790931"/>
  </r>
  <r>
    <x v="108"/>
    <x v="0"/>
    <x v="103"/>
    <x v="0"/>
    <s v="Music that moves youâ€”only on Spotify."/>
    <n v="4581"/>
    <n v="181"/>
    <n v="112"/>
    <n v="35221"/>
    <n v="28797"/>
    <n v="164"/>
    <x v="0"/>
    <x v="0"/>
    <x v="0"/>
    <n v="0.13838335084182732"/>
  </r>
  <r>
    <x v="109"/>
    <x v="0"/>
    <x v="104"/>
    <x v="0"/>
    <s v="New music just dropped. Hit play!"/>
    <n v="3253"/>
    <n v="483"/>
    <n v="336"/>
    <n v="25397"/>
    <n v="51485"/>
    <n v="131"/>
    <x v="1"/>
    <x v="1"/>
    <x v="1"/>
    <n v="0.16033389770445328"/>
  </r>
  <r>
    <x v="110"/>
    <x v="2"/>
    <x v="105"/>
    <x v="2"/>
    <s v="Music that moves youâ€”only on Spotify."/>
    <n v="4955"/>
    <n v="299"/>
    <n v="345"/>
    <n v="33644"/>
    <n v="43547"/>
    <n v="194"/>
    <x v="1"/>
    <x v="4"/>
    <x v="3"/>
    <n v="0.16641897515158721"/>
  </r>
  <r>
    <x v="111"/>
    <x v="0"/>
    <x v="106"/>
    <x v="0"/>
    <s v="Your weekend playlist is waiting."/>
    <n v="1333"/>
    <n v="286"/>
    <n v="298"/>
    <n v="36174"/>
    <n v="34517"/>
    <n v="170"/>
    <x v="0"/>
    <x v="0"/>
    <x v="0"/>
    <n v="5.2993862995521647E-2"/>
  </r>
  <r>
    <x v="112"/>
    <x v="0"/>
    <x v="107"/>
    <x v="0"/>
    <s v="New music just dropped. Hit play!"/>
    <n v="1616"/>
    <n v="360"/>
    <n v="180"/>
    <n v="54342"/>
    <n v="18796"/>
    <n v="282"/>
    <x v="0"/>
    <x v="0"/>
    <x v="0"/>
    <n v="3.9674653122814763E-2"/>
  </r>
  <r>
    <x v="113"/>
    <x v="1"/>
    <x v="108"/>
    <x v="0"/>
    <s v="Top trending tracks updated daily!"/>
    <n v="1803"/>
    <n v="273"/>
    <n v="287"/>
    <n v="46176"/>
    <n v="25488"/>
    <n v="141"/>
    <x v="3"/>
    <x v="1"/>
    <x v="0"/>
    <n v="5.1173769923769923E-2"/>
  </r>
  <r>
    <x v="114"/>
    <x v="0"/>
    <x v="109"/>
    <x v="0"/>
    <s v="Explore the latest podcasts now."/>
    <n v="4177"/>
    <n v="489"/>
    <n v="331"/>
    <n v="57451"/>
    <n v="73793"/>
    <n v="251"/>
    <x v="1"/>
    <x v="1"/>
    <x v="1"/>
    <n v="8.6978468608031198E-2"/>
  </r>
  <r>
    <x v="115"/>
    <x v="0"/>
    <x v="0"/>
    <x v="1"/>
    <s v="New music just dropped. Hit play!"/>
    <n v="1311"/>
    <n v="181"/>
    <n v="361"/>
    <n v="37148"/>
    <n v="44875"/>
    <n v="245"/>
    <x v="3"/>
    <x v="1"/>
    <x v="2"/>
    <n v="4.9881554861634543E-2"/>
  </r>
  <r>
    <x v="116"/>
    <x v="0"/>
    <x v="110"/>
    <x v="1"/>
    <s v="From pop to podcasts, itâ€™s all here."/>
    <n v="1516"/>
    <n v="215"/>
    <n v="332"/>
    <n v="58981"/>
    <n v="36118"/>
    <n v="211"/>
    <x v="3"/>
    <x v="1"/>
    <x v="2"/>
    <n v="3.4977365592309385E-2"/>
  </r>
  <r>
    <x v="117"/>
    <x v="1"/>
    <x v="111"/>
    <x v="1"/>
    <s v="Music that moves youâ€”only on Spotify."/>
    <n v="2023"/>
    <n v="124"/>
    <n v="99"/>
    <n v="54524"/>
    <n v="34790"/>
    <n v="195"/>
    <x v="1"/>
    <x v="3"/>
    <x v="0"/>
    <n v="4.1192869195216787E-2"/>
  </r>
  <r>
    <x v="118"/>
    <x v="1"/>
    <x v="112"/>
    <x v="1"/>
    <s v="Music that moves youâ€”only on Spotify."/>
    <n v="2134"/>
    <n v="322"/>
    <n v="114"/>
    <n v="44338"/>
    <n v="52165"/>
    <n v="176"/>
    <x v="2"/>
    <x v="0"/>
    <x v="0"/>
    <n v="5.7963823356939871E-2"/>
  </r>
  <r>
    <x v="119"/>
    <x v="0"/>
    <x v="113"/>
    <x v="0"/>
    <s v="Top trending tracks updated daily!"/>
    <n v="2266"/>
    <n v="126"/>
    <n v="140"/>
    <n v="53759"/>
    <n v="46834"/>
    <n v="277"/>
    <x v="1"/>
    <x v="1"/>
    <x v="1"/>
    <n v="4.7099090384865788E-2"/>
  </r>
  <r>
    <x v="120"/>
    <x v="0"/>
    <x v="114"/>
    <x v="1"/>
    <s v="New music just dropped. Hit play!"/>
    <n v="3916"/>
    <n v="459"/>
    <n v="229"/>
    <n v="48989"/>
    <n v="39768"/>
    <n v="200"/>
    <x v="3"/>
    <x v="1"/>
    <x v="2"/>
    <n v="9.3980281287635997E-2"/>
  </r>
  <r>
    <x v="121"/>
    <x v="1"/>
    <x v="115"/>
    <x v="1"/>
    <s v="Music that moves youâ€”only on Spotify."/>
    <n v="1022"/>
    <n v="463"/>
    <n v="360"/>
    <n v="51468"/>
    <n v="24279"/>
    <n v="230"/>
    <x v="1"/>
    <x v="3"/>
    <x v="0"/>
    <n v="3.5847516903707161E-2"/>
  </r>
  <r>
    <x v="122"/>
    <x v="2"/>
    <x v="116"/>
    <x v="0"/>
    <s v="From pop to podcasts, itâ€™s all here."/>
    <n v="2911"/>
    <n v="467"/>
    <n v="94"/>
    <n v="59083"/>
    <n v="49762"/>
    <n v="236"/>
    <x v="1"/>
    <x v="2"/>
    <x v="1"/>
    <n v="5.8764788517847777E-2"/>
  </r>
  <r>
    <x v="123"/>
    <x v="1"/>
    <x v="6"/>
    <x v="1"/>
    <s v="New music just dropped. Hit play!"/>
    <n v="3277"/>
    <n v="423"/>
    <n v="259"/>
    <n v="46328"/>
    <n v="44293"/>
    <n v="299"/>
    <x v="0"/>
    <x v="0"/>
    <x v="0"/>
    <n v="8.5455879813503707E-2"/>
  </r>
  <r>
    <x v="124"/>
    <x v="1"/>
    <x v="117"/>
    <x v="0"/>
    <s v="From pop to podcasts, itâ€™s all here."/>
    <n v="2956"/>
    <n v="381"/>
    <n v="345"/>
    <n v="33347"/>
    <n v="22558"/>
    <n v="173"/>
    <x v="3"/>
    <x v="1"/>
    <x v="0"/>
    <n v="0.11041472996071611"/>
  </r>
  <r>
    <x v="125"/>
    <x v="1"/>
    <x v="118"/>
    <x v="1"/>
    <s v="Whatâ€™s your vibe today? #SpotifyHits"/>
    <n v="3208"/>
    <n v="476"/>
    <n v="277"/>
    <n v="56072"/>
    <n v="21061"/>
    <n v="113"/>
    <x v="2"/>
    <x v="0"/>
    <x v="0"/>
    <n v="7.064131830503638E-2"/>
  </r>
  <r>
    <x v="126"/>
    <x v="1"/>
    <x v="119"/>
    <x v="0"/>
    <s v="Music that moves youâ€”only on Spotify."/>
    <n v="1456"/>
    <n v="265"/>
    <n v="137"/>
    <n v="53485"/>
    <n v="59729"/>
    <n v="145"/>
    <x v="0"/>
    <x v="1"/>
    <x v="1"/>
    <n v="3.4738711788351875E-2"/>
  </r>
  <r>
    <x v="127"/>
    <x v="0"/>
    <x v="120"/>
    <x v="0"/>
    <s v="New music just dropped. Hit play!"/>
    <n v="1902"/>
    <n v="394"/>
    <n v="279"/>
    <n v="24615"/>
    <n v="51330"/>
    <n v="176"/>
    <x v="0"/>
    <x v="0"/>
    <x v="0"/>
    <n v="0.10461100954702417"/>
  </r>
  <r>
    <x v="128"/>
    <x v="1"/>
    <x v="121"/>
    <x v="1"/>
    <s v="Explore the latest podcasts now."/>
    <n v="3219"/>
    <n v="424"/>
    <n v="267"/>
    <n v="48879"/>
    <n v="37691"/>
    <n v="224"/>
    <x v="1"/>
    <x v="3"/>
    <x v="0"/>
    <n v="7.9993453221219743E-2"/>
  </r>
  <r>
    <x v="129"/>
    <x v="2"/>
    <x v="122"/>
    <x v="0"/>
    <s v="Explore the latest podcasts now."/>
    <n v="1261"/>
    <n v="190"/>
    <n v="233"/>
    <n v="59888"/>
    <n v="51449"/>
    <n v="205"/>
    <x v="1"/>
    <x v="2"/>
    <x v="1"/>
    <n v="2.811915575741384E-2"/>
  </r>
  <r>
    <x v="130"/>
    <x v="1"/>
    <x v="123"/>
    <x v="0"/>
    <s v="Your weekend playlist is waiting."/>
    <n v="1564"/>
    <n v="362"/>
    <n v="371"/>
    <n v="42075"/>
    <n v="66659"/>
    <n v="205"/>
    <x v="0"/>
    <x v="1"/>
    <x v="1"/>
    <n v="5.4592988710635768E-2"/>
  </r>
  <r>
    <x v="131"/>
    <x v="1"/>
    <x v="124"/>
    <x v="0"/>
    <s v="Whatâ€™s your vibe today? #SpotifyHits"/>
    <n v="4006"/>
    <n v="420"/>
    <n v="194"/>
    <n v="49964"/>
    <n v="20685"/>
    <n v="148"/>
    <x v="3"/>
    <x v="1"/>
    <x v="0"/>
    <n v="9.2466575934672959E-2"/>
  </r>
  <r>
    <x v="132"/>
    <x v="2"/>
    <x v="125"/>
    <x v="0"/>
    <s v="Your weekend playlist is waiting."/>
    <n v="1976"/>
    <n v="262"/>
    <n v="218"/>
    <n v="51696"/>
    <n v="44846"/>
    <n v="139"/>
    <x v="1"/>
    <x v="2"/>
    <x v="1"/>
    <n v="4.7508511296812134E-2"/>
  </r>
  <r>
    <x v="133"/>
    <x v="1"/>
    <x v="126"/>
    <x v="0"/>
    <s v="New music just dropped. Hit play!"/>
    <n v="1583"/>
    <n v="433"/>
    <n v="249"/>
    <n v="30256"/>
    <n v="47066"/>
    <n v="196"/>
    <x v="3"/>
    <x v="1"/>
    <x v="0"/>
    <n v="7.4861184558434685E-2"/>
  </r>
  <r>
    <x v="134"/>
    <x v="1"/>
    <x v="127"/>
    <x v="1"/>
    <s v="Explore the latest podcasts now."/>
    <n v="2870"/>
    <n v="380"/>
    <n v="393"/>
    <n v="37621"/>
    <n v="71794"/>
    <n v="127"/>
    <x v="2"/>
    <x v="0"/>
    <x v="0"/>
    <n v="9.6834214933149046E-2"/>
  </r>
  <r>
    <x v="135"/>
    <x v="1"/>
    <x v="128"/>
    <x v="0"/>
    <s v="Top trending tracks updated daily!"/>
    <n v="3728"/>
    <n v="271"/>
    <n v="275"/>
    <n v="22827"/>
    <n v="37034"/>
    <n v="199"/>
    <x v="3"/>
    <x v="1"/>
    <x v="0"/>
    <n v="0.18723441538528934"/>
  </r>
  <r>
    <x v="136"/>
    <x v="1"/>
    <x v="129"/>
    <x v="1"/>
    <s v="New music just dropped. Hit play!"/>
    <n v="4965"/>
    <n v="175"/>
    <n v="307"/>
    <n v="32793"/>
    <n v="43412"/>
    <n v="296"/>
    <x v="0"/>
    <x v="0"/>
    <x v="0"/>
    <n v="0.16610252187966945"/>
  </r>
  <r>
    <x v="137"/>
    <x v="1"/>
    <x v="130"/>
    <x v="1"/>
    <s v="New music just dropped. Hit play!"/>
    <n v="1131"/>
    <n v="100"/>
    <n v="116"/>
    <n v="48437"/>
    <n v="72704"/>
    <n v="236"/>
    <x v="1"/>
    <x v="3"/>
    <x v="0"/>
    <n v="2.7809319322005904E-2"/>
  </r>
  <r>
    <x v="138"/>
    <x v="1"/>
    <x v="131"/>
    <x v="0"/>
    <s v="Your weekend playlist is waiting."/>
    <n v="2754"/>
    <n v="215"/>
    <n v="264"/>
    <n v="27762"/>
    <n v="70203"/>
    <n v="289"/>
    <x v="3"/>
    <x v="1"/>
    <x v="0"/>
    <n v="0.11645414595490239"/>
  </r>
  <r>
    <x v="139"/>
    <x v="1"/>
    <x v="132"/>
    <x v="1"/>
    <s v="New music just dropped. Hit play!"/>
    <n v="1856"/>
    <n v="357"/>
    <n v="348"/>
    <n v="29428"/>
    <n v="70206"/>
    <n v="236"/>
    <x v="2"/>
    <x v="0"/>
    <x v="0"/>
    <n v="8.702596166915863E-2"/>
  </r>
  <r>
    <x v="140"/>
    <x v="2"/>
    <x v="133"/>
    <x v="2"/>
    <s v="Explore the latest podcasts now."/>
    <n v="3543"/>
    <n v="334"/>
    <n v="218"/>
    <n v="58007"/>
    <n v="24792"/>
    <n v="273"/>
    <x v="1"/>
    <x v="4"/>
    <x v="3"/>
    <n v="7.0594928198320889E-2"/>
  </r>
  <r>
    <x v="141"/>
    <x v="0"/>
    <x v="134"/>
    <x v="1"/>
    <s v="New music just dropped. Hit play!"/>
    <n v="4563"/>
    <n v="398"/>
    <n v="163"/>
    <n v="43679"/>
    <n v="48760"/>
    <n v="92"/>
    <x v="3"/>
    <x v="1"/>
    <x v="2"/>
    <n v="0.11731037798484398"/>
  </r>
  <r>
    <x v="142"/>
    <x v="0"/>
    <x v="135"/>
    <x v="0"/>
    <s v="Discover fresh beats on Spotify!"/>
    <n v="4283"/>
    <n v="471"/>
    <n v="156"/>
    <n v="53004"/>
    <n v="25678"/>
    <n v="105"/>
    <x v="1"/>
    <x v="1"/>
    <x v="1"/>
    <n v="9.2634518149573616E-2"/>
  </r>
  <r>
    <x v="143"/>
    <x v="0"/>
    <x v="40"/>
    <x v="0"/>
    <s v="Discover fresh beats on Spotify!"/>
    <n v="2329"/>
    <n v="373"/>
    <n v="291"/>
    <n v="49577"/>
    <n v="28002"/>
    <n v="82"/>
    <x v="0"/>
    <x v="0"/>
    <x v="0"/>
    <n v="6.0370736430199488E-2"/>
  </r>
  <r>
    <x v="144"/>
    <x v="1"/>
    <x v="73"/>
    <x v="1"/>
    <s v="Top trending tracks updated daily!"/>
    <n v="4287"/>
    <n v="273"/>
    <n v="122"/>
    <n v="40792"/>
    <n v="23878"/>
    <n v="277"/>
    <x v="2"/>
    <x v="0"/>
    <x v="0"/>
    <n v="0.11477740733477153"/>
  </r>
  <r>
    <x v="145"/>
    <x v="0"/>
    <x v="136"/>
    <x v="0"/>
    <s v="Discover fresh beats on Spotify!"/>
    <n v="2633"/>
    <n v="318"/>
    <n v="380"/>
    <n v="40869"/>
    <n v="64474"/>
    <n v="245"/>
    <x v="1"/>
    <x v="1"/>
    <x v="1"/>
    <n v="8.1504318676747664E-2"/>
  </r>
  <r>
    <x v="146"/>
    <x v="1"/>
    <x v="137"/>
    <x v="1"/>
    <s v="Discover fresh beats on Spotify!"/>
    <n v="2383"/>
    <n v="136"/>
    <n v="302"/>
    <n v="39187"/>
    <n v="22133"/>
    <n v="208"/>
    <x v="2"/>
    <x v="0"/>
    <x v="0"/>
    <n v="7.1988159338556151E-2"/>
  </r>
  <r>
    <x v="147"/>
    <x v="1"/>
    <x v="138"/>
    <x v="1"/>
    <s v="Your weekend playlist is waiting."/>
    <n v="4752"/>
    <n v="334"/>
    <n v="56"/>
    <n v="48017"/>
    <n v="55534"/>
    <n v="270"/>
    <x v="1"/>
    <x v="3"/>
    <x v="0"/>
    <n v="0.10708707332819627"/>
  </r>
  <r>
    <x v="148"/>
    <x v="1"/>
    <x v="139"/>
    <x v="0"/>
    <s v="From pop to podcasts, itâ€™s all here."/>
    <n v="3890"/>
    <n v="408"/>
    <n v="338"/>
    <n v="56994"/>
    <n v="32621"/>
    <n v="286"/>
    <x v="0"/>
    <x v="1"/>
    <x v="1"/>
    <n v="8.1341895638137346E-2"/>
  </r>
  <r>
    <x v="149"/>
    <x v="1"/>
    <x v="140"/>
    <x v="1"/>
    <s v="Your weekend playlist is waiting."/>
    <n v="2311"/>
    <n v="207"/>
    <n v="363"/>
    <n v="30349"/>
    <n v="32925"/>
    <n v="88"/>
    <x v="2"/>
    <x v="0"/>
    <x v="0"/>
    <n v="9.4928992718046723E-2"/>
  </r>
  <r>
    <x v="150"/>
    <x v="0"/>
    <x v="50"/>
    <x v="1"/>
    <s v="Discover fresh beats on Spotify!"/>
    <n v="2962"/>
    <n v="400"/>
    <n v="280"/>
    <n v="52508"/>
    <n v="58329"/>
    <n v="219"/>
    <x v="3"/>
    <x v="1"/>
    <x v="2"/>
    <n v="6.9360859297630834E-2"/>
  </r>
  <r>
    <x v="151"/>
    <x v="0"/>
    <x v="141"/>
    <x v="0"/>
    <s v="Discover fresh beats on Spotify!"/>
    <n v="3118"/>
    <n v="116"/>
    <n v="195"/>
    <n v="37100"/>
    <n v="62629"/>
    <n v="272"/>
    <x v="1"/>
    <x v="1"/>
    <x v="1"/>
    <n v="9.2425876010781671E-2"/>
  </r>
  <r>
    <x v="152"/>
    <x v="1"/>
    <x v="142"/>
    <x v="1"/>
    <s v="Explore the latest podcasts now."/>
    <n v="3805"/>
    <n v="453"/>
    <n v="63"/>
    <n v="52395"/>
    <n v="72934"/>
    <n v="87"/>
    <x v="1"/>
    <x v="3"/>
    <x v="0"/>
    <n v="8.2469701307376658E-2"/>
  </r>
  <r>
    <x v="153"/>
    <x v="0"/>
    <x v="128"/>
    <x v="0"/>
    <s v="Whatâ€™s your vibe today? #SpotifyHits"/>
    <n v="2525"/>
    <n v="272"/>
    <n v="294"/>
    <n v="51875"/>
    <n v="24732"/>
    <n v="92"/>
    <x v="1"/>
    <x v="1"/>
    <x v="1"/>
    <n v="5.9585542168674697E-2"/>
  </r>
  <r>
    <x v="154"/>
    <x v="0"/>
    <x v="143"/>
    <x v="0"/>
    <s v="Music that moves youâ€”only on Spotify."/>
    <n v="3563"/>
    <n v="483"/>
    <n v="227"/>
    <n v="41085"/>
    <n v="26393"/>
    <n v="236"/>
    <x v="0"/>
    <x v="0"/>
    <x v="0"/>
    <n v="0.10400389436534015"/>
  </r>
  <r>
    <x v="155"/>
    <x v="2"/>
    <x v="144"/>
    <x v="2"/>
    <s v="Whatâ€™s your vibe today? #SpotifyHits"/>
    <n v="1437"/>
    <n v="494"/>
    <n v="129"/>
    <n v="53048"/>
    <n v="44090"/>
    <n v="230"/>
    <x v="1"/>
    <x v="4"/>
    <x v="3"/>
    <n v="3.8832755240536872E-2"/>
  </r>
  <r>
    <x v="156"/>
    <x v="2"/>
    <x v="145"/>
    <x v="0"/>
    <s v="From pop to podcasts, itâ€™s all here."/>
    <n v="4425"/>
    <n v="185"/>
    <n v="162"/>
    <n v="24610"/>
    <n v="21342"/>
    <n v="158"/>
    <x v="1"/>
    <x v="2"/>
    <x v="1"/>
    <n v="0.19390491670052823"/>
  </r>
  <r>
    <x v="157"/>
    <x v="1"/>
    <x v="146"/>
    <x v="1"/>
    <s v="New music just dropped. Hit play!"/>
    <n v="4609"/>
    <n v="427"/>
    <n v="395"/>
    <n v="33698"/>
    <n v="29259"/>
    <n v="216"/>
    <x v="1"/>
    <x v="3"/>
    <x v="0"/>
    <n v="0.16116683482699271"/>
  </r>
  <r>
    <x v="158"/>
    <x v="0"/>
    <x v="147"/>
    <x v="1"/>
    <s v="Get into the groove with our new drop!"/>
    <n v="1558"/>
    <n v="352"/>
    <n v="202"/>
    <n v="25405"/>
    <n v="69941"/>
    <n v="219"/>
    <x v="3"/>
    <x v="1"/>
    <x v="2"/>
    <n v="8.3133241487896081E-2"/>
  </r>
  <r>
    <x v="159"/>
    <x v="2"/>
    <x v="148"/>
    <x v="2"/>
    <s v="Top trending tracks updated daily!"/>
    <n v="1889"/>
    <n v="298"/>
    <n v="122"/>
    <n v="46225"/>
    <n v="74305"/>
    <n v="293"/>
    <x v="1"/>
    <x v="4"/>
    <x v="3"/>
    <n v="4.9951325040562468E-2"/>
  </r>
  <r>
    <x v="160"/>
    <x v="0"/>
    <x v="149"/>
    <x v="0"/>
    <s v="Discover fresh beats on Spotify!"/>
    <n v="3086"/>
    <n v="148"/>
    <n v="310"/>
    <n v="22824"/>
    <n v="58103"/>
    <n v="275"/>
    <x v="1"/>
    <x v="1"/>
    <x v="1"/>
    <n v="0.1552751489660007"/>
  </r>
  <r>
    <x v="161"/>
    <x v="0"/>
    <x v="150"/>
    <x v="0"/>
    <s v="Music that moves youâ€”only on Spotify."/>
    <n v="2422"/>
    <n v="318"/>
    <n v="118"/>
    <n v="25386"/>
    <n v="20873"/>
    <n v="100"/>
    <x v="0"/>
    <x v="0"/>
    <x v="0"/>
    <n v="0.11258173796580792"/>
  </r>
  <r>
    <x v="162"/>
    <x v="2"/>
    <x v="151"/>
    <x v="2"/>
    <s v="From pop to podcasts, itâ€™s all here."/>
    <n v="3414"/>
    <n v="154"/>
    <n v="204"/>
    <n v="34146"/>
    <n v="44633"/>
    <n v="256"/>
    <x v="1"/>
    <x v="4"/>
    <x v="3"/>
    <n v="0.11046681895390383"/>
  </r>
  <r>
    <x v="163"/>
    <x v="0"/>
    <x v="152"/>
    <x v="1"/>
    <s v="Whatâ€™s your vibe today? #SpotifyHits"/>
    <n v="1342"/>
    <n v="332"/>
    <n v="163"/>
    <n v="51712"/>
    <n v="57922"/>
    <n v="168"/>
    <x v="3"/>
    <x v="1"/>
    <x v="2"/>
    <n v="3.5523669554455448E-2"/>
  </r>
  <r>
    <x v="164"/>
    <x v="0"/>
    <x v="52"/>
    <x v="1"/>
    <s v="Music that moves youâ€”only on Spotify."/>
    <n v="2414"/>
    <n v="220"/>
    <n v="280"/>
    <n v="27355"/>
    <n v="50562"/>
    <n v="258"/>
    <x v="3"/>
    <x v="1"/>
    <x v="2"/>
    <n v="0.10652531529884847"/>
  </r>
  <r>
    <x v="165"/>
    <x v="0"/>
    <x v="129"/>
    <x v="0"/>
    <s v="New music just dropped. Hit play!"/>
    <n v="4383"/>
    <n v="352"/>
    <n v="176"/>
    <n v="53239"/>
    <n v="34168"/>
    <n v="288"/>
    <x v="1"/>
    <x v="1"/>
    <x v="1"/>
    <n v="9.2244407295403744E-2"/>
  </r>
  <r>
    <x v="166"/>
    <x v="2"/>
    <x v="153"/>
    <x v="0"/>
    <s v="Wrapped is here! Relive your top tracks ðŸŽ§"/>
    <n v="4294"/>
    <n v="423"/>
    <n v="93"/>
    <n v="29828"/>
    <n v="73144"/>
    <n v="298"/>
    <x v="1"/>
    <x v="2"/>
    <x v="1"/>
    <n v="0.1612578785034196"/>
  </r>
  <r>
    <x v="167"/>
    <x v="0"/>
    <x v="154"/>
    <x v="0"/>
    <s v="Top trending tracks updated daily!"/>
    <n v="2762"/>
    <n v="339"/>
    <n v="323"/>
    <n v="33757"/>
    <n v="68511"/>
    <n v="121"/>
    <x v="0"/>
    <x v="0"/>
    <x v="0"/>
    <n v="0.10143081434961637"/>
  </r>
  <r>
    <x v="168"/>
    <x v="2"/>
    <x v="79"/>
    <x v="0"/>
    <s v="New music just dropped. Hit play!"/>
    <n v="3782"/>
    <n v="484"/>
    <n v="144"/>
    <n v="52172"/>
    <n v="59386"/>
    <n v="175"/>
    <x v="1"/>
    <x v="2"/>
    <x v="1"/>
    <n v="8.4528099363643333E-2"/>
  </r>
  <r>
    <x v="169"/>
    <x v="1"/>
    <x v="155"/>
    <x v="0"/>
    <s v="New music just dropped. Hit play!"/>
    <n v="4318"/>
    <n v="371"/>
    <n v="329"/>
    <n v="32347"/>
    <n v="68956"/>
    <n v="259"/>
    <x v="0"/>
    <x v="1"/>
    <x v="1"/>
    <n v="0.15513030574705536"/>
  </r>
  <r>
    <x v="170"/>
    <x v="0"/>
    <x v="156"/>
    <x v="1"/>
    <s v="Wrapped is here! Relive your top tracks ðŸŽ§"/>
    <n v="2335"/>
    <n v="150"/>
    <n v="75"/>
    <n v="26114"/>
    <n v="57549"/>
    <n v="135"/>
    <x v="3"/>
    <x v="1"/>
    <x v="2"/>
    <n v="9.8031707130274953E-2"/>
  </r>
  <r>
    <x v="171"/>
    <x v="2"/>
    <x v="157"/>
    <x v="0"/>
    <s v="Explore the latest podcasts now."/>
    <n v="4023"/>
    <n v="293"/>
    <n v="91"/>
    <n v="26795"/>
    <n v="28924"/>
    <n v="278"/>
    <x v="1"/>
    <x v="2"/>
    <x v="1"/>
    <n v="0.16447098339242397"/>
  </r>
  <r>
    <x v="172"/>
    <x v="0"/>
    <x v="158"/>
    <x v="0"/>
    <s v="Get into the groove with our new drop!"/>
    <n v="3948"/>
    <n v="151"/>
    <n v="249"/>
    <n v="43147"/>
    <n v="63136"/>
    <n v="230"/>
    <x v="1"/>
    <x v="1"/>
    <x v="1"/>
    <n v="0.10077178019329269"/>
  </r>
  <r>
    <x v="173"/>
    <x v="2"/>
    <x v="159"/>
    <x v="0"/>
    <s v="Wrapped is here! Relive your top tracks ðŸŽ§"/>
    <n v="4598"/>
    <n v="455"/>
    <n v="378"/>
    <n v="52952"/>
    <n v="58504"/>
    <n v="269"/>
    <x v="1"/>
    <x v="2"/>
    <x v="1"/>
    <n v="0.10256458679558846"/>
  </r>
  <r>
    <x v="174"/>
    <x v="1"/>
    <x v="160"/>
    <x v="1"/>
    <s v="Music that moves youâ€”only on Spotify."/>
    <n v="2665"/>
    <n v="143"/>
    <n v="315"/>
    <n v="54808"/>
    <n v="29818"/>
    <n v="98"/>
    <x v="1"/>
    <x v="3"/>
    <x v="0"/>
    <n v="5.6980732739746021E-2"/>
  </r>
  <r>
    <x v="175"/>
    <x v="0"/>
    <x v="161"/>
    <x v="0"/>
    <s v="Top trending tracks updated daily!"/>
    <n v="3469"/>
    <n v="371"/>
    <n v="76"/>
    <n v="46493"/>
    <n v="26906"/>
    <n v="150"/>
    <x v="0"/>
    <x v="0"/>
    <x v="0"/>
    <n v="8.4227733207149463E-2"/>
  </r>
  <r>
    <x v="176"/>
    <x v="1"/>
    <x v="162"/>
    <x v="0"/>
    <s v="Explore the latest podcasts now."/>
    <n v="4823"/>
    <n v="489"/>
    <n v="302"/>
    <n v="32470"/>
    <n v="31861"/>
    <n v="178"/>
    <x v="0"/>
    <x v="1"/>
    <x v="1"/>
    <n v="0.1728980597474592"/>
  </r>
  <r>
    <x v="177"/>
    <x v="0"/>
    <x v="163"/>
    <x v="1"/>
    <s v="From pop to podcasts, itâ€™s all here."/>
    <n v="3812"/>
    <n v="321"/>
    <n v="289"/>
    <n v="59838"/>
    <n v="36337"/>
    <n v="161"/>
    <x v="3"/>
    <x v="1"/>
    <x v="2"/>
    <n v="7.3899528727564417E-2"/>
  </r>
  <r>
    <x v="178"/>
    <x v="1"/>
    <x v="128"/>
    <x v="0"/>
    <s v="Explore the latest podcasts now."/>
    <n v="2387"/>
    <n v="353"/>
    <n v="78"/>
    <n v="39745"/>
    <n v="69226"/>
    <n v="208"/>
    <x v="0"/>
    <x v="1"/>
    <x v="1"/>
    <n v="7.090200025160398E-2"/>
  </r>
  <r>
    <x v="179"/>
    <x v="1"/>
    <x v="114"/>
    <x v="1"/>
    <s v="Wrapped is here! Relive your top tracks ðŸŽ§"/>
    <n v="3929"/>
    <n v="275"/>
    <n v="330"/>
    <n v="58329"/>
    <n v="33196"/>
    <n v="85"/>
    <x v="2"/>
    <x v="0"/>
    <x v="0"/>
    <n v="7.7731488624869283E-2"/>
  </r>
  <r>
    <x v="180"/>
    <x v="1"/>
    <x v="164"/>
    <x v="0"/>
    <s v="From pop to podcasts, itâ€™s all here."/>
    <n v="2191"/>
    <n v="288"/>
    <n v="83"/>
    <n v="59606"/>
    <n v="24765"/>
    <n v="281"/>
    <x v="0"/>
    <x v="1"/>
    <x v="1"/>
    <n v="4.2982250109049422E-2"/>
  </r>
  <r>
    <x v="181"/>
    <x v="0"/>
    <x v="164"/>
    <x v="0"/>
    <s v="From pop to podcasts, itâ€™s all here."/>
    <n v="2878"/>
    <n v="278"/>
    <n v="255"/>
    <n v="47235"/>
    <n v="57922"/>
    <n v="112"/>
    <x v="0"/>
    <x v="0"/>
    <x v="0"/>
    <n v="7.2213401079707848E-2"/>
  </r>
  <r>
    <x v="182"/>
    <x v="1"/>
    <x v="165"/>
    <x v="0"/>
    <s v="Top trending tracks updated daily!"/>
    <n v="3204"/>
    <n v="398"/>
    <n v="85"/>
    <n v="22020"/>
    <n v="58353"/>
    <n v="286"/>
    <x v="0"/>
    <x v="1"/>
    <x v="1"/>
    <n v="0.16743869209809265"/>
  </r>
  <r>
    <x v="183"/>
    <x v="1"/>
    <x v="166"/>
    <x v="1"/>
    <s v="Get into the groove with our new drop!"/>
    <n v="2408"/>
    <n v="323"/>
    <n v="251"/>
    <n v="47599"/>
    <n v="35543"/>
    <n v="287"/>
    <x v="2"/>
    <x v="0"/>
    <x v="0"/>
    <n v="6.2648374965860634E-2"/>
  </r>
  <r>
    <x v="184"/>
    <x v="2"/>
    <x v="47"/>
    <x v="2"/>
    <s v="New music just dropped. Hit play!"/>
    <n v="2733"/>
    <n v="297"/>
    <n v="235"/>
    <n v="37980"/>
    <n v="33058"/>
    <n v="219"/>
    <x v="1"/>
    <x v="4"/>
    <x v="3"/>
    <n v="8.5966298051606105E-2"/>
  </r>
  <r>
    <x v="185"/>
    <x v="1"/>
    <x v="167"/>
    <x v="1"/>
    <s v="Explore the latest podcasts now."/>
    <n v="4618"/>
    <n v="312"/>
    <n v="254"/>
    <n v="22571"/>
    <n v="29453"/>
    <n v="197"/>
    <x v="2"/>
    <x v="0"/>
    <x v="0"/>
    <n v="0.22967524699836073"/>
  </r>
  <r>
    <x v="186"/>
    <x v="2"/>
    <x v="168"/>
    <x v="2"/>
    <s v="Wrapped is here! Relive your top tracks ðŸŽ§"/>
    <n v="4210"/>
    <n v="319"/>
    <n v="350"/>
    <n v="37762"/>
    <n v="55162"/>
    <n v="204"/>
    <x v="1"/>
    <x v="4"/>
    <x v="3"/>
    <n v="0.12920396165457337"/>
  </r>
  <r>
    <x v="187"/>
    <x v="0"/>
    <x v="169"/>
    <x v="0"/>
    <s v="Wrapped is here! Relive your top tracks ðŸŽ§"/>
    <n v="3987"/>
    <n v="171"/>
    <n v="274"/>
    <n v="45122"/>
    <n v="65431"/>
    <n v="168"/>
    <x v="1"/>
    <x v="1"/>
    <x v="1"/>
    <n v="9.8222596516111871E-2"/>
  </r>
  <r>
    <x v="188"/>
    <x v="2"/>
    <x v="170"/>
    <x v="2"/>
    <s v="Get into the groove with our new drop!"/>
    <n v="4957"/>
    <n v="262"/>
    <n v="365"/>
    <n v="49199"/>
    <n v="40314"/>
    <n v="216"/>
    <x v="1"/>
    <x v="4"/>
    <x v="3"/>
    <n v="0.11349824183418362"/>
  </r>
  <r>
    <x v="189"/>
    <x v="0"/>
    <x v="171"/>
    <x v="0"/>
    <s v="Music that moves youâ€”only on Spotify."/>
    <n v="2605"/>
    <n v="282"/>
    <n v="148"/>
    <n v="32201"/>
    <n v="49583"/>
    <n v="241"/>
    <x v="0"/>
    <x v="0"/>
    <x v="0"/>
    <n v="9.4251731312692155E-2"/>
  </r>
  <r>
    <x v="190"/>
    <x v="2"/>
    <x v="115"/>
    <x v="2"/>
    <s v="Discover fresh beats on Spotify!"/>
    <n v="4221"/>
    <n v="307"/>
    <n v="58"/>
    <n v="45080"/>
    <n v="37214"/>
    <n v="240"/>
    <x v="1"/>
    <x v="4"/>
    <x v="3"/>
    <n v="0.10173025732031943"/>
  </r>
  <r>
    <x v="191"/>
    <x v="1"/>
    <x v="172"/>
    <x v="1"/>
    <s v="Whatâ€™s your vibe today? #SpotifyHits"/>
    <n v="4422"/>
    <n v="434"/>
    <n v="156"/>
    <n v="56165"/>
    <n v="52431"/>
    <n v="173"/>
    <x v="1"/>
    <x v="3"/>
    <x v="0"/>
    <n v="8.9237069349238848E-2"/>
  </r>
  <r>
    <x v="192"/>
    <x v="2"/>
    <x v="158"/>
    <x v="2"/>
    <s v="Wrapped is here! Relive your top tracks ðŸŽ§"/>
    <n v="1211"/>
    <n v="431"/>
    <n v="83"/>
    <n v="26532"/>
    <n v="47305"/>
    <n v="232"/>
    <x v="1"/>
    <x v="4"/>
    <x v="3"/>
    <n v="6.5015829941203071E-2"/>
  </r>
  <r>
    <x v="193"/>
    <x v="1"/>
    <x v="173"/>
    <x v="1"/>
    <s v="Explore the latest podcasts now."/>
    <n v="2784"/>
    <n v="111"/>
    <n v="399"/>
    <n v="58366"/>
    <n v="69512"/>
    <n v="269"/>
    <x v="2"/>
    <x v="0"/>
    <x v="0"/>
    <n v="5.6436966727204191E-2"/>
  </r>
  <r>
    <x v="194"/>
    <x v="2"/>
    <x v="174"/>
    <x v="0"/>
    <s v="New music just dropped. Hit play!"/>
    <n v="3634"/>
    <n v="280"/>
    <n v="399"/>
    <n v="40256"/>
    <n v="52605"/>
    <n v="213"/>
    <x v="1"/>
    <x v="2"/>
    <x v="1"/>
    <n v="0.10713930842607314"/>
  </r>
  <r>
    <x v="195"/>
    <x v="0"/>
    <x v="175"/>
    <x v="0"/>
    <s v="From pop to podcasts, itâ€™s all here."/>
    <n v="1771"/>
    <n v="487"/>
    <n v="272"/>
    <n v="48810"/>
    <n v="48084"/>
    <n v="272"/>
    <x v="0"/>
    <x v="0"/>
    <x v="0"/>
    <n v="5.1833640647408315E-2"/>
  </r>
  <r>
    <x v="196"/>
    <x v="2"/>
    <x v="176"/>
    <x v="0"/>
    <s v="Top trending tracks updated daily!"/>
    <n v="1424"/>
    <n v="396"/>
    <n v="312"/>
    <n v="59517"/>
    <n v="46102"/>
    <n v="239"/>
    <x v="1"/>
    <x v="2"/>
    <x v="1"/>
    <n v="3.5821698002251455E-2"/>
  </r>
  <r>
    <x v="197"/>
    <x v="1"/>
    <x v="1"/>
    <x v="1"/>
    <s v="Top trending tracks updated daily!"/>
    <n v="1079"/>
    <n v="265"/>
    <n v="190"/>
    <n v="43786"/>
    <n v="72428"/>
    <n v="222"/>
    <x v="0"/>
    <x v="0"/>
    <x v="0"/>
    <n v="3.5034029141734799E-2"/>
  </r>
  <r>
    <x v="198"/>
    <x v="1"/>
    <x v="177"/>
    <x v="1"/>
    <s v="Get into the groove with our new drop!"/>
    <n v="4247"/>
    <n v="179"/>
    <n v="175"/>
    <n v="32991"/>
    <n v="70120"/>
    <n v="276"/>
    <x v="0"/>
    <x v="0"/>
    <x v="0"/>
    <n v="0.13946227759085811"/>
  </r>
  <r>
    <x v="199"/>
    <x v="1"/>
    <x v="178"/>
    <x v="0"/>
    <s v="New music just dropped. Hit play!"/>
    <n v="2033"/>
    <n v="420"/>
    <n v="94"/>
    <n v="56290"/>
    <n v="57391"/>
    <n v="196"/>
    <x v="3"/>
    <x v="1"/>
    <x v="0"/>
    <n v="4.5247823769763724E-2"/>
  </r>
  <r>
    <x v="200"/>
    <x v="1"/>
    <x v="179"/>
    <x v="1"/>
    <s v="Wrapped is here! Relive your top tracks ðŸŽ§"/>
    <n v="1839"/>
    <n v="223"/>
    <n v="171"/>
    <n v="35459"/>
    <n v="69988"/>
    <n v="114"/>
    <x v="2"/>
    <x v="0"/>
    <x v="0"/>
    <n v="6.2974139146620034E-2"/>
  </r>
  <r>
    <x v="201"/>
    <x v="1"/>
    <x v="68"/>
    <x v="1"/>
    <s v="Wrapped is here! Relive your top tracks ðŸŽ§"/>
    <n v="2340"/>
    <n v="141"/>
    <n v="206"/>
    <n v="24916"/>
    <n v="30582"/>
    <n v="157"/>
    <x v="0"/>
    <x v="0"/>
    <x v="0"/>
    <n v="0.10784235029699792"/>
  </r>
  <r>
    <x v="202"/>
    <x v="0"/>
    <x v="180"/>
    <x v="0"/>
    <s v="Top trending tracks updated daily!"/>
    <n v="2080"/>
    <n v="389"/>
    <n v="92"/>
    <n v="30971"/>
    <n v="25347"/>
    <n v="111"/>
    <x v="1"/>
    <x v="1"/>
    <x v="1"/>
    <n v="8.2690258629040073E-2"/>
  </r>
  <r>
    <x v="203"/>
    <x v="1"/>
    <x v="181"/>
    <x v="0"/>
    <s v="Get into the groove with our new drop!"/>
    <n v="4214"/>
    <n v="286"/>
    <n v="127"/>
    <n v="47293"/>
    <n v="27184"/>
    <n v="232"/>
    <x v="3"/>
    <x v="1"/>
    <x v="0"/>
    <n v="9.7836889180216949E-2"/>
  </r>
  <r>
    <x v="204"/>
    <x v="1"/>
    <x v="63"/>
    <x v="0"/>
    <s v="Wrapped is here! Relive your top tracks ðŸŽ§"/>
    <n v="3792"/>
    <n v="315"/>
    <n v="120"/>
    <n v="54592"/>
    <n v="67886"/>
    <n v="117"/>
    <x v="0"/>
    <x v="1"/>
    <x v="1"/>
    <n v="7.7428927315357568E-2"/>
  </r>
  <r>
    <x v="205"/>
    <x v="1"/>
    <x v="182"/>
    <x v="1"/>
    <s v="Explore the latest podcasts now."/>
    <n v="3989"/>
    <n v="476"/>
    <n v="128"/>
    <n v="57569"/>
    <n v="40193"/>
    <n v="222"/>
    <x v="1"/>
    <x v="3"/>
    <x v="0"/>
    <n v="7.9782521843353188E-2"/>
  </r>
  <r>
    <x v="206"/>
    <x v="1"/>
    <x v="129"/>
    <x v="1"/>
    <s v="Wrapped is here! Relive your top tracks ðŸŽ§"/>
    <n v="2857"/>
    <n v="443"/>
    <n v="359"/>
    <n v="51519"/>
    <n v="28256"/>
    <n v="155"/>
    <x v="0"/>
    <x v="0"/>
    <x v="0"/>
    <n v="7.1022341272152026E-2"/>
  </r>
  <r>
    <x v="207"/>
    <x v="1"/>
    <x v="183"/>
    <x v="0"/>
    <s v="From pop to podcasts, itâ€™s all here."/>
    <n v="1403"/>
    <n v="385"/>
    <n v="344"/>
    <n v="54223"/>
    <n v="72595"/>
    <n v="239"/>
    <x v="0"/>
    <x v="1"/>
    <x v="1"/>
    <n v="3.9319108127547353E-2"/>
  </r>
  <r>
    <x v="208"/>
    <x v="1"/>
    <x v="184"/>
    <x v="1"/>
    <s v="Whatâ€™s your vibe today? #SpotifyHits"/>
    <n v="3071"/>
    <n v="126"/>
    <n v="200"/>
    <n v="44013"/>
    <n v="44679"/>
    <n v="118"/>
    <x v="1"/>
    <x v="3"/>
    <x v="0"/>
    <n v="7.7181741758116915E-2"/>
  </r>
  <r>
    <x v="209"/>
    <x v="1"/>
    <x v="185"/>
    <x v="1"/>
    <s v="Top trending tracks updated daily!"/>
    <n v="1010"/>
    <n v="361"/>
    <n v="240"/>
    <n v="47229"/>
    <n v="72573"/>
    <n v="275"/>
    <x v="0"/>
    <x v="0"/>
    <x v="0"/>
    <n v="3.4110398272247981E-2"/>
  </r>
  <r>
    <x v="210"/>
    <x v="1"/>
    <x v="186"/>
    <x v="1"/>
    <s v="Discover fresh beats on Spotify!"/>
    <n v="1295"/>
    <n v="153"/>
    <n v="81"/>
    <n v="48350"/>
    <n v="61033"/>
    <n v="232"/>
    <x v="1"/>
    <x v="3"/>
    <x v="0"/>
    <n v="3.1623578076525334E-2"/>
  </r>
  <r>
    <x v="211"/>
    <x v="1"/>
    <x v="187"/>
    <x v="1"/>
    <s v="Whatâ€™s your vibe today? #SpotifyHits"/>
    <n v="1433"/>
    <n v="452"/>
    <n v="305"/>
    <n v="54541"/>
    <n v="63700"/>
    <n v="296"/>
    <x v="1"/>
    <x v="3"/>
    <x v="0"/>
    <n v="4.0153279184466734E-2"/>
  </r>
  <r>
    <x v="212"/>
    <x v="0"/>
    <x v="188"/>
    <x v="1"/>
    <s v="Get into the groove with our new drop!"/>
    <n v="4902"/>
    <n v="422"/>
    <n v="376"/>
    <n v="31674"/>
    <n v="53225"/>
    <n v="147"/>
    <x v="3"/>
    <x v="1"/>
    <x v="2"/>
    <n v="0.17995832544042431"/>
  </r>
  <r>
    <x v="213"/>
    <x v="1"/>
    <x v="30"/>
    <x v="0"/>
    <s v="Wrapped is here! Relive your top tracks ðŸŽ§"/>
    <n v="2659"/>
    <n v="167"/>
    <n v="73"/>
    <n v="23090"/>
    <n v="25872"/>
    <n v="293"/>
    <x v="0"/>
    <x v="1"/>
    <x v="1"/>
    <n v="0.12555218709398008"/>
  </r>
  <r>
    <x v="214"/>
    <x v="2"/>
    <x v="189"/>
    <x v="0"/>
    <s v="Your weekend playlist is waiting."/>
    <n v="2599"/>
    <n v="324"/>
    <n v="182"/>
    <n v="37525"/>
    <n v="37216"/>
    <n v="186"/>
    <x v="1"/>
    <x v="2"/>
    <x v="1"/>
    <n v="8.2744836775483013E-2"/>
  </r>
  <r>
    <x v="215"/>
    <x v="1"/>
    <x v="175"/>
    <x v="0"/>
    <s v="Music that moves youâ€”only on Spotify."/>
    <n v="1765"/>
    <n v="285"/>
    <n v="100"/>
    <n v="41313"/>
    <n v="56575"/>
    <n v="174"/>
    <x v="0"/>
    <x v="1"/>
    <x v="1"/>
    <n v="5.2041730205988429E-2"/>
  </r>
  <r>
    <x v="216"/>
    <x v="0"/>
    <x v="190"/>
    <x v="0"/>
    <s v="Whatâ€™s your vibe today? #SpotifyHits"/>
    <n v="2169"/>
    <n v="240"/>
    <n v="57"/>
    <n v="26109"/>
    <n v="46667"/>
    <n v="133"/>
    <x v="0"/>
    <x v="0"/>
    <x v="0"/>
    <n v="9.4450189589796618E-2"/>
  </r>
  <r>
    <x v="217"/>
    <x v="1"/>
    <x v="191"/>
    <x v="1"/>
    <s v="Explore the latest podcasts now."/>
    <n v="4303"/>
    <n v="306"/>
    <n v="302"/>
    <n v="39575"/>
    <n v="33762"/>
    <n v="265"/>
    <x v="1"/>
    <x v="3"/>
    <x v="0"/>
    <n v="0.12409349336702463"/>
  </r>
  <r>
    <x v="218"/>
    <x v="1"/>
    <x v="192"/>
    <x v="0"/>
    <s v="From pop to podcasts, itâ€™s all here."/>
    <n v="1519"/>
    <n v="456"/>
    <n v="379"/>
    <n v="51611"/>
    <n v="45880"/>
    <n v="176"/>
    <x v="0"/>
    <x v="1"/>
    <x v="1"/>
    <n v="4.5610431884675749E-2"/>
  </r>
  <r>
    <x v="219"/>
    <x v="2"/>
    <x v="193"/>
    <x v="0"/>
    <s v="Whatâ€™s your vibe today? #SpotifyHits"/>
    <n v="2569"/>
    <n v="140"/>
    <n v="375"/>
    <n v="38372"/>
    <n v="22102"/>
    <n v="255"/>
    <x v="1"/>
    <x v="2"/>
    <x v="1"/>
    <n v="8.0371103929948923E-2"/>
  </r>
  <r>
    <x v="220"/>
    <x v="1"/>
    <x v="194"/>
    <x v="1"/>
    <s v="Music that moves youâ€”only on Spotify."/>
    <n v="2778"/>
    <n v="241"/>
    <n v="317"/>
    <n v="26247"/>
    <n v="20677"/>
    <n v="282"/>
    <x v="2"/>
    <x v="0"/>
    <x v="0"/>
    <n v="0.1271002400274317"/>
  </r>
  <r>
    <x v="221"/>
    <x v="1"/>
    <x v="195"/>
    <x v="0"/>
    <s v="Explore the latest podcasts now."/>
    <n v="3611"/>
    <n v="127"/>
    <n v="139"/>
    <n v="44768"/>
    <n v="29435"/>
    <n v="178"/>
    <x v="3"/>
    <x v="1"/>
    <x v="0"/>
    <n v="8.6602037169406718E-2"/>
  </r>
  <r>
    <x v="222"/>
    <x v="1"/>
    <x v="196"/>
    <x v="0"/>
    <s v="Whatâ€™s your vibe today? #SpotifyHits"/>
    <n v="1224"/>
    <n v="168"/>
    <n v="199"/>
    <n v="54232"/>
    <n v="52844"/>
    <n v="271"/>
    <x v="0"/>
    <x v="1"/>
    <x v="1"/>
    <n v="2.9336922849977874E-2"/>
  </r>
  <r>
    <x v="223"/>
    <x v="1"/>
    <x v="193"/>
    <x v="0"/>
    <s v="From pop to podcasts, itâ€™s all here."/>
    <n v="4673"/>
    <n v="270"/>
    <n v="93"/>
    <n v="45260"/>
    <n v="57513"/>
    <n v="103"/>
    <x v="3"/>
    <x v="1"/>
    <x v="0"/>
    <n v="0.11126822801590809"/>
  </r>
  <r>
    <x v="224"/>
    <x v="2"/>
    <x v="197"/>
    <x v="0"/>
    <s v="Wrapped is here! Relive your top tracks ðŸŽ§"/>
    <n v="1432"/>
    <n v="437"/>
    <n v="267"/>
    <n v="40634"/>
    <n v="54511"/>
    <n v="197"/>
    <x v="1"/>
    <x v="2"/>
    <x v="1"/>
    <n v="5.2566815966924252E-2"/>
  </r>
  <r>
    <x v="225"/>
    <x v="1"/>
    <x v="198"/>
    <x v="1"/>
    <s v="New music just dropped. Hit play!"/>
    <n v="2174"/>
    <n v="499"/>
    <n v="212"/>
    <n v="54938"/>
    <n v="27190"/>
    <n v="265"/>
    <x v="2"/>
    <x v="0"/>
    <x v="0"/>
    <n v="5.2513742764570971E-2"/>
  </r>
  <r>
    <x v="226"/>
    <x v="2"/>
    <x v="199"/>
    <x v="0"/>
    <s v="Music that moves youâ€”only on Spotify."/>
    <n v="4308"/>
    <n v="171"/>
    <n v="106"/>
    <n v="36955"/>
    <n v="23949"/>
    <n v="294"/>
    <x v="1"/>
    <x v="2"/>
    <x v="1"/>
    <n v="0.12406981463942633"/>
  </r>
  <r>
    <x v="227"/>
    <x v="2"/>
    <x v="140"/>
    <x v="2"/>
    <s v="Whatâ€™s your vibe today? #SpotifyHits"/>
    <n v="1060"/>
    <n v="442"/>
    <n v="319"/>
    <n v="57194"/>
    <n v="24258"/>
    <n v="101"/>
    <x v="1"/>
    <x v="4"/>
    <x v="3"/>
    <n v="3.1839004091338254E-2"/>
  </r>
  <r>
    <x v="228"/>
    <x v="2"/>
    <x v="115"/>
    <x v="0"/>
    <s v="Music that moves youâ€”only on Spotify."/>
    <n v="4653"/>
    <n v="226"/>
    <n v="349"/>
    <n v="56876"/>
    <n v="28452"/>
    <n v="257"/>
    <x v="1"/>
    <x v="2"/>
    <x v="1"/>
    <n v="9.191926295801392E-2"/>
  </r>
  <r>
    <x v="229"/>
    <x v="2"/>
    <x v="23"/>
    <x v="0"/>
    <s v="Discover fresh beats on Spotify!"/>
    <n v="1701"/>
    <n v="272"/>
    <n v="385"/>
    <n v="47496"/>
    <n v="40832"/>
    <n v="246"/>
    <x v="1"/>
    <x v="2"/>
    <x v="1"/>
    <n v="4.9646286003031836E-2"/>
  </r>
  <r>
    <x v="230"/>
    <x v="0"/>
    <x v="65"/>
    <x v="0"/>
    <s v="Whatâ€™s your vibe today? #SpotifyHits"/>
    <n v="1673"/>
    <n v="280"/>
    <n v="67"/>
    <n v="29847"/>
    <n v="48016"/>
    <n v="213"/>
    <x v="0"/>
    <x v="0"/>
    <x v="0"/>
    <n v="6.76784936509532E-2"/>
  </r>
  <r>
    <x v="231"/>
    <x v="2"/>
    <x v="77"/>
    <x v="0"/>
    <s v="Top trending tracks updated daily!"/>
    <n v="4310"/>
    <n v="284"/>
    <n v="306"/>
    <n v="44606"/>
    <n v="42604"/>
    <n v="290"/>
    <x v="1"/>
    <x v="2"/>
    <x v="1"/>
    <n v="0.10985069273191947"/>
  </r>
  <r>
    <x v="232"/>
    <x v="1"/>
    <x v="200"/>
    <x v="0"/>
    <s v="From pop to podcasts, itâ€™s all here."/>
    <n v="2752"/>
    <n v="309"/>
    <n v="91"/>
    <n v="39038"/>
    <n v="28095"/>
    <n v="277"/>
    <x v="3"/>
    <x v="1"/>
    <x v="0"/>
    <n v="8.0741841282852611E-2"/>
  </r>
  <r>
    <x v="233"/>
    <x v="1"/>
    <x v="201"/>
    <x v="0"/>
    <s v="From pop to podcasts, itâ€™s all here."/>
    <n v="3818"/>
    <n v="115"/>
    <n v="286"/>
    <n v="25127"/>
    <n v="22277"/>
    <n v="263"/>
    <x v="3"/>
    <x v="1"/>
    <x v="0"/>
    <n v="0.16790703227603773"/>
  </r>
  <r>
    <x v="234"/>
    <x v="2"/>
    <x v="102"/>
    <x v="0"/>
    <s v="Your weekend playlist is waiting."/>
    <n v="2101"/>
    <n v="411"/>
    <n v="190"/>
    <n v="41791"/>
    <n v="57090"/>
    <n v="172"/>
    <x v="1"/>
    <x v="2"/>
    <x v="1"/>
    <n v="6.4655069273288512E-2"/>
  </r>
  <r>
    <x v="235"/>
    <x v="0"/>
    <x v="202"/>
    <x v="0"/>
    <s v="Discover fresh beats on Spotify!"/>
    <n v="2519"/>
    <n v="202"/>
    <n v="239"/>
    <n v="36245"/>
    <n v="48606"/>
    <n v="145"/>
    <x v="1"/>
    <x v="1"/>
    <x v="1"/>
    <n v="8.1666436749896543E-2"/>
  </r>
  <r>
    <x v="236"/>
    <x v="2"/>
    <x v="174"/>
    <x v="0"/>
    <s v="Whatâ€™s your vibe today? #SpotifyHits"/>
    <n v="4502"/>
    <n v="238"/>
    <n v="386"/>
    <n v="39198"/>
    <n v="25050"/>
    <n v="297"/>
    <x v="1"/>
    <x v="2"/>
    <x v="1"/>
    <n v="0.13077197816215114"/>
  </r>
  <r>
    <x v="237"/>
    <x v="0"/>
    <x v="7"/>
    <x v="0"/>
    <s v="Explore the latest podcasts now."/>
    <n v="2478"/>
    <n v="427"/>
    <n v="242"/>
    <n v="59272"/>
    <n v="37833"/>
    <n v="214"/>
    <x v="0"/>
    <x v="0"/>
    <x v="0"/>
    <n v="5.3094209744904843E-2"/>
  </r>
  <r>
    <x v="238"/>
    <x v="1"/>
    <x v="203"/>
    <x v="1"/>
    <s v="New music just dropped. Hit play!"/>
    <n v="4984"/>
    <n v="300"/>
    <n v="338"/>
    <n v="32900"/>
    <n v="31691"/>
    <n v="160"/>
    <x v="2"/>
    <x v="0"/>
    <x v="0"/>
    <n v="0.17088145896656534"/>
  </r>
  <r>
    <x v="239"/>
    <x v="2"/>
    <x v="46"/>
    <x v="0"/>
    <s v="Wrapped is here! Relive your top tracks ðŸŽ§"/>
    <n v="4774"/>
    <n v="389"/>
    <n v="358"/>
    <n v="52346"/>
    <n v="30518"/>
    <n v="277"/>
    <x v="1"/>
    <x v="2"/>
    <x v="1"/>
    <n v="0.10547128720437092"/>
  </r>
  <r>
    <x v="240"/>
    <x v="1"/>
    <x v="204"/>
    <x v="0"/>
    <s v="Get into the groove with our new drop!"/>
    <n v="2145"/>
    <n v="340"/>
    <n v="85"/>
    <n v="53323"/>
    <n v="49938"/>
    <n v="104"/>
    <x v="3"/>
    <x v="1"/>
    <x v="0"/>
    <n v="4.819683813738912E-2"/>
  </r>
  <r>
    <x v="241"/>
    <x v="1"/>
    <x v="205"/>
    <x v="1"/>
    <s v="From pop to podcasts, itâ€™s all here."/>
    <n v="4315"/>
    <n v="208"/>
    <n v="273"/>
    <n v="35780"/>
    <n v="44349"/>
    <n v="133"/>
    <x v="1"/>
    <x v="3"/>
    <x v="0"/>
    <n v="0.13404136389044158"/>
  </r>
  <r>
    <x v="242"/>
    <x v="1"/>
    <x v="193"/>
    <x v="1"/>
    <s v="Wrapped is here! Relive your top tracks ðŸŽ§"/>
    <n v="2267"/>
    <n v="230"/>
    <n v="243"/>
    <n v="27904"/>
    <n v="69771"/>
    <n v="255"/>
    <x v="1"/>
    <x v="3"/>
    <x v="0"/>
    <n v="9.8193807339449546E-2"/>
  </r>
  <r>
    <x v="243"/>
    <x v="2"/>
    <x v="206"/>
    <x v="0"/>
    <s v="Music that moves youâ€”only on Spotify."/>
    <n v="4375"/>
    <n v="303"/>
    <n v="294"/>
    <n v="57468"/>
    <n v="53397"/>
    <n v="159"/>
    <x v="1"/>
    <x v="2"/>
    <x v="1"/>
    <n v="8.6517714206166912E-2"/>
  </r>
  <r>
    <x v="244"/>
    <x v="1"/>
    <x v="31"/>
    <x v="1"/>
    <s v="Your weekend playlist is waiting."/>
    <n v="3817"/>
    <n v="284"/>
    <n v="204"/>
    <n v="46434"/>
    <n v="53396"/>
    <n v="104"/>
    <x v="2"/>
    <x v="0"/>
    <x v="0"/>
    <n v="9.2712236723090841E-2"/>
  </r>
  <r>
    <x v="245"/>
    <x v="1"/>
    <x v="207"/>
    <x v="1"/>
    <s v="Top trending tracks updated daily!"/>
    <n v="2981"/>
    <n v="258"/>
    <n v="168"/>
    <n v="20677"/>
    <n v="68290"/>
    <n v="130"/>
    <x v="0"/>
    <x v="0"/>
    <x v="0"/>
    <n v="0.16477245248343569"/>
  </r>
  <r>
    <x v="246"/>
    <x v="1"/>
    <x v="172"/>
    <x v="1"/>
    <s v="Your weekend playlist is waiting."/>
    <n v="3300"/>
    <n v="354"/>
    <n v="397"/>
    <n v="56773"/>
    <n v="72110"/>
    <n v="163"/>
    <x v="1"/>
    <x v="3"/>
    <x v="0"/>
    <n v="7.1354340971940891E-2"/>
  </r>
  <r>
    <x v="247"/>
    <x v="2"/>
    <x v="208"/>
    <x v="2"/>
    <s v="Wrapped is here! Relive your top tracks ðŸŽ§"/>
    <n v="4722"/>
    <n v="310"/>
    <n v="344"/>
    <n v="27911"/>
    <n v="19000"/>
    <n v="225"/>
    <x v="1"/>
    <x v="4"/>
    <x v="3"/>
    <n v="0.19261223173659131"/>
  </r>
  <r>
    <x v="248"/>
    <x v="0"/>
    <x v="9"/>
    <x v="0"/>
    <s v="Whatâ€™s your vibe today? #SpotifyHits"/>
    <n v="3529"/>
    <n v="263"/>
    <n v="107"/>
    <n v="26570"/>
    <n v="19367"/>
    <n v="96"/>
    <x v="1"/>
    <x v="1"/>
    <x v="1"/>
    <n v="0.14674444862627023"/>
  </r>
  <r>
    <x v="249"/>
    <x v="1"/>
    <x v="126"/>
    <x v="0"/>
    <s v="Your weekend playlist is waiting."/>
    <n v="4782"/>
    <n v="210"/>
    <n v="311"/>
    <n v="29793"/>
    <n v="37543"/>
    <n v="145"/>
    <x v="3"/>
    <x v="1"/>
    <x v="0"/>
    <n v="0.17799483100057059"/>
  </r>
  <r>
    <x v="250"/>
    <x v="1"/>
    <x v="60"/>
    <x v="0"/>
    <s v="Whatâ€™s your vibe today? #SpotifyHits"/>
    <n v="1848"/>
    <n v="417"/>
    <n v="294"/>
    <n v="57819"/>
    <n v="19798"/>
    <n v="262"/>
    <x v="0"/>
    <x v="1"/>
    <x v="1"/>
    <n v="4.4258807658382193E-2"/>
  </r>
  <r>
    <x v="251"/>
    <x v="2"/>
    <x v="96"/>
    <x v="0"/>
    <s v="New music just dropped. Hit play!"/>
    <n v="4676"/>
    <n v="211"/>
    <n v="55"/>
    <n v="45917"/>
    <n v="73503"/>
    <n v="248"/>
    <x v="1"/>
    <x v="2"/>
    <x v="1"/>
    <n v="0.10762898272970794"/>
  </r>
  <r>
    <x v="252"/>
    <x v="2"/>
    <x v="209"/>
    <x v="0"/>
    <s v="From pop to podcasts, itâ€™s all here."/>
    <n v="1994"/>
    <n v="197"/>
    <n v="290"/>
    <n v="49500"/>
    <n v="23343"/>
    <n v="160"/>
    <x v="1"/>
    <x v="2"/>
    <x v="1"/>
    <n v="5.0121212121212122E-2"/>
  </r>
  <r>
    <x v="253"/>
    <x v="1"/>
    <x v="210"/>
    <x v="0"/>
    <s v="Whatâ€™s your vibe today? #SpotifyHits"/>
    <n v="4995"/>
    <n v="231"/>
    <n v="94"/>
    <n v="34431"/>
    <n v="32560"/>
    <n v="262"/>
    <x v="3"/>
    <x v="1"/>
    <x v="0"/>
    <n v="0.15451192239551567"/>
  </r>
  <r>
    <x v="254"/>
    <x v="1"/>
    <x v="154"/>
    <x v="1"/>
    <s v="Top trending tracks updated daily!"/>
    <n v="2291"/>
    <n v="146"/>
    <n v="399"/>
    <n v="49319"/>
    <n v="28056"/>
    <n v="90"/>
    <x v="1"/>
    <x v="3"/>
    <x v="0"/>
    <n v="5.7503193495407452E-2"/>
  </r>
  <r>
    <x v="255"/>
    <x v="1"/>
    <x v="207"/>
    <x v="1"/>
    <s v="Wrapped is here! Relive your top tracks ðŸŽ§"/>
    <n v="2304"/>
    <n v="289"/>
    <n v="161"/>
    <n v="52645"/>
    <n v="66262"/>
    <n v="146"/>
    <x v="2"/>
    <x v="0"/>
    <x v="0"/>
    <n v="5.2312660271630736E-2"/>
  </r>
  <r>
    <x v="256"/>
    <x v="1"/>
    <x v="211"/>
    <x v="1"/>
    <s v="Top trending tracks updated daily!"/>
    <n v="3413"/>
    <n v="326"/>
    <n v="86"/>
    <n v="44680"/>
    <n v="52719"/>
    <n v="272"/>
    <x v="1"/>
    <x v="3"/>
    <x v="0"/>
    <n v="8.5608773500447627E-2"/>
  </r>
  <r>
    <x v="257"/>
    <x v="2"/>
    <x v="123"/>
    <x v="2"/>
    <s v="From pop to podcasts, itâ€™s all here."/>
    <n v="1453"/>
    <n v="156"/>
    <n v="178"/>
    <n v="52980"/>
    <n v="57180"/>
    <n v="286"/>
    <x v="1"/>
    <x v="4"/>
    <x v="3"/>
    <n v="3.3729709324273313E-2"/>
  </r>
  <r>
    <x v="258"/>
    <x v="1"/>
    <x v="212"/>
    <x v="1"/>
    <s v="Music that moves youâ€”only on Spotify."/>
    <n v="1651"/>
    <n v="480"/>
    <n v="282"/>
    <n v="32140"/>
    <n v="70560"/>
    <n v="138"/>
    <x v="0"/>
    <x v="0"/>
    <x v="0"/>
    <n v="7.5077784691972627E-2"/>
  </r>
  <r>
    <x v="259"/>
    <x v="1"/>
    <x v="67"/>
    <x v="1"/>
    <s v="Explore the latest podcasts now."/>
    <n v="3341"/>
    <n v="154"/>
    <n v="123"/>
    <n v="43369"/>
    <n v="49035"/>
    <n v="128"/>
    <x v="2"/>
    <x v="0"/>
    <x v="0"/>
    <n v="8.3423643616408028E-2"/>
  </r>
  <r>
    <x v="260"/>
    <x v="1"/>
    <x v="213"/>
    <x v="0"/>
    <s v="From pop to podcasts, itâ€™s all here."/>
    <n v="2972"/>
    <n v="263"/>
    <n v="308"/>
    <n v="51740"/>
    <n v="28214"/>
    <n v="190"/>
    <x v="0"/>
    <x v="1"/>
    <x v="1"/>
    <n v="6.8477000386548123E-2"/>
  </r>
  <r>
    <x v="261"/>
    <x v="1"/>
    <x v="214"/>
    <x v="1"/>
    <s v="Explore the latest podcasts now."/>
    <n v="4963"/>
    <n v="255"/>
    <n v="193"/>
    <n v="44386"/>
    <n v="28415"/>
    <n v="174"/>
    <x v="2"/>
    <x v="0"/>
    <x v="0"/>
    <n v="0.12190780876853062"/>
  </r>
  <r>
    <x v="262"/>
    <x v="2"/>
    <x v="215"/>
    <x v="0"/>
    <s v="Music that moves youâ€”only on Spotify."/>
    <n v="2399"/>
    <n v="191"/>
    <n v="221"/>
    <n v="51603"/>
    <n v="40033"/>
    <n v="173"/>
    <x v="1"/>
    <x v="2"/>
    <x v="1"/>
    <n v="5.4473577117609438E-2"/>
  </r>
  <r>
    <x v="263"/>
    <x v="2"/>
    <x v="190"/>
    <x v="2"/>
    <s v="Get into the groove with our new drop!"/>
    <n v="2162"/>
    <n v="318"/>
    <n v="83"/>
    <n v="46719"/>
    <n v="20482"/>
    <n v="185"/>
    <x v="1"/>
    <x v="4"/>
    <x v="3"/>
    <n v="5.4859907104176028E-2"/>
  </r>
  <r>
    <x v="264"/>
    <x v="1"/>
    <x v="76"/>
    <x v="1"/>
    <s v="Explore the latest podcasts now."/>
    <n v="4341"/>
    <n v="141"/>
    <n v="63"/>
    <n v="50081"/>
    <n v="27507"/>
    <n v="221"/>
    <x v="1"/>
    <x v="3"/>
    <x v="0"/>
    <n v="9.0752980172121162E-2"/>
  </r>
  <r>
    <x v="265"/>
    <x v="0"/>
    <x v="140"/>
    <x v="1"/>
    <s v="Get into the groove with our new drop!"/>
    <n v="2448"/>
    <n v="464"/>
    <n v="98"/>
    <n v="25737"/>
    <n v="48545"/>
    <n v="246"/>
    <x v="3"/>
    <x v="1"/>
    <x v="2"/>
    <n v="0.11695224773672146"/>
  </r>
  <r>
    <x v="266"/>
    <x v="2"/>
    <x v="216"/>
    <x v="0"/>
    <s v="Top trending tracks updated daily!"/>
    <n v="2471"/>
    <n v="166"/>
    <n v="320"/>
    <n v="48254"/>
    <n v="46900"/>
    <n v="111"/>
    <x v="1"/>
    <x v="2"/>
    <x v="1"/>
    <n v="6.1279893894806647E-2"/>
  </r>
  <r>
    <x v="267"/>
    <x v="2"/>
    <x v="217"/>
    <x v="2"/>
    <s v="Explore the latest podcasts now."/>
    <n v="2692"/>
    <n v="446"/>
    <n v="216"/>
    <n v="45818"/>
    <n v="62723"/>
    <n v="85"/>
    <x v="1"/>
    <x v="4"/>
    <x v="3"/>
    <n v="7.3202671439172376E-2"/>
  </r>
  <r>
    <x v="268"/>
    <x v="2"/>
    <x v="218"/>
    <x v="2"/>
    <s v="Music that moves youâ€”only on Spotify."/>
    <n v="4621"/>
    <n v="374"/>
    <n v="298"/>
    <n v="56979"/>
    <n v="24098"/>
    <n v="205"/>
    <x v="1"/>
    <x v="4"/>
    <x v="3"/>
    <n v="9.2893873181347508E-2"/>
  </r>
  <r>
    <x v="269"/>
    <x v="1"/>
    <x v="88"/>
    <x v="1"/>
    <s v="New music just dropped. Hit play!"/>
    <n v="1409"/>
    <n v="466"/>
    <n v="105"/>
    <n v="58923"/>
    <n v="38753"/>
    <n v="265"/>
    <x v="1"/>
    <x v="3"/>
    <x v="0"/>
    <n v="3.3603177027646251E-2"/>
  </r>
  <r>
    <x v="270"/>
    <x v="1"/>
    <x v="45"/>
    <x v="1"/>
    <s v="Discover fresh beats on Spotify!"/>
    <n v="3029"/>
    <n v="440"/>
    <n v="66"/>
    <n v="23815"/>
    <n v="47895"/>
    <n v="210"/>
    <x v="1"/>
    <x v="3"/>
    <x v="0"/>
    <n v="0.14843585975225698"/>
  </r>
  <r>
    <x v="271"/>
    <x v="1"/>
    <x v="19"/>
    <x v="0"/>
    <s v="Explore the latest podcasts now."/>
    <n v="2229"/>
    <n v="395"/>
    <n v="328"/>
    <n v="56921"/>
    <n v="37176"/>
    <n v="126"/>
    <x v="0"/>
    <x v="1"/>
    <x v="1"/>
    <n v="5.1861351697967357E-2"/>
  </r>
  <r>
    <x v="272"/>
    <x v="1"/>
    <x v="43"/>
    <x v="0"/>
    <s v="Explore the latest podcasts now."/>
    <n v="2691"/>
    <n v="486"/>
    <n v="206"/>
    <n v="51133"/>
    <n v="44583"/>
    <n v="276"/>
    <x v="3"/>
    <x v="1"/>
    <x v="0"/>
    <n v="6.6160796354604659E-2"/>
  </r>
  <r>
    <x v="273"/>
    <x v="0"/>
    <x v="12"/>
    <x v="0"/>
    <s v="Explore the latest podcasts now."/>
    <n v="2110"/>
    <n v="384"/>
    <n v="236"/>
    <n v="49965"/>
    <n v="61555"/>
    <n v="195"/>
    <x v="1"/>
    <x v="1"/>
    <x v="1"/>
    <n v="5.4638246772740921E-2"/>
  </r>
  <r>
    <x v="274"/>
    <x v="0"/>
    <x v="219"/>
    <x v="0"/>
    <s v="Wrapped is here! Relive your top tracks ðŸŽ§"/>
    <n v="4752"/>
    <n v="449"/>
    <n v="309"/>
    <n v="58530"/>
    <n v="26630"/>
    <n v="234"/>
    <x v="1"/>
    <x v="1"/>
    <x v="1"/>
    <n v="9.4139757389372969E-2"/>
  </r>
  <r>
    <x v="275"/>
    <x v="1"/>
    <x v="220"/>
    <x v="0"/>
    <s v="Discover fresh beats on Spotify!"/>
    <n v="2177"/>
    <n v="258"/>
    <n v="292"/>
    <n v="47276"/>
    <n v="51324"/>
    <n v="143"/>
    <x v="3"/>
    <x v="1"/>
    <x v="0"/>
    <n v="5.7682545054573146E-2"/>
  </r>
  <r>
    <x v="276"/>
    <x v="0"/>
    <x v="210"/>
    <x v="1"/>
    <s v="New music just dropped. Hit play!"/>
    <n v="1205"/>
    <n v="486"/>
    <n v="269"/>
    <n v="23341"/>
    <n v="42411"/>
    <n v="184"/>
    <x v="3"/>
    <x v="1"/>
    <x v="2"/>
    <n v="8.3972409065592737E-2"/>
  </r>
  <r>
    <x v="277"/>
    <x v="0"/>
    <x v="221"/>
    <x v="0"/>
    <s v="Top trending tracks updated daily!"/>
    <n v="3194"/>
    <n v="292"/>
    <n v="245"/>
    <n v="56371"/>
    <n v="65597"/>
    <n v="163"/>
    <x v="0"/>
    <x v="0"/>
    <x v="0"/>
    <n v="6.6186514342481059E-2"/>
  </r>
  <r>
    <x v="278"/>
    <x v="1"/>
    <x v="212"/>
    <x v="1"/>
    <s v="New music just dropped. Hit play!"/>
    <n v="3507"/>
    <n v="295"/>
    <n v="371"/>
    <n v="20410"/>
    <n v="53965"/>
    <n v="212"/>
    <x v="0"/>
    <x v="0"/>
    <x v="0"/>
    <n v="0.20445859872611466"/>
  </r>
  <r>
    <x v="279"/>
    <x v="1"/>
    <x v="124"/>
    <x v="1"/>
    <s v="Wrapped is here! Relive your top tracks ðŸŽ§"/>
    <n v="4471"/>
    <n v="317"/>
    <n v="249"/>
    <n v="44862"/>
    <n v="33365"/>
    <n v="184"/>
    <x v="1"/>
    <x v="3"/>
    <x v="0"/>
    <n v="0.1122776514644911"/>
  </r>
  <r>
    <x v="280"/>
    <x v="0"/>
    <x v="222"/>
    <x v="0"/>
    <s v="Top trending tracks updated daily!"/>
    <n v="4931"/>
    <n v="469"/>
    <n v="193"/>
    <n v="56701"/>
    <n v="69437"/>
    <n v="291"/>
    <x v="0"/>
    <x v="0"/>
    <x v="0"/>
    <n v="9.8640235621946709E-2"/>
  </r>
  <r>
    <x v="281"/>
    <x v="1"/>
    <x v="223"/>
    <x v="1"/>
    <s v="Get into the groove with our new drop!"/>
    <n v="2604"/>
    <n v="439"/>
    <n v="148"/>
    <n v="58468"/>
    <n v="39629"/>
    <n v="163"/>
    <x v="2"/>
    <x v="0"/>
    <x v="0"/>
    <n v="5.4576862557296296E-2"/>
  </r>
  <r>
    <x v="282"/>
    <x v="0"/>
    <x v="132"/>
    <x v="0"/>
    <s v="Music that moves youâ€”only on Spotify."/>
    <n v="4197"/>
    <n v="359"/>
    <n v="280"/>
    <n v="56048"/>
    <n v="70930"/>
    <n v="295"/>
    <x v="1"/>
    <x v="1"/>
    <x v="1"/>
    <n v="8.628318584070796E-2"/>
  </r>
  <r>
    <x v="283"/>
    <x v="0"/>
    <x v="224"/>
    <x v="1"/>
    <s v="Top trending tracks updated daily!"/>
    <n v="1914"/>
    <n v="255"/>
    <n v="156"/>
    <n v="27660"/>
    <n v="47776"/>
    <n v="111"/>
    <x v="3"/>
    <x v="1"/>
    <x v="2"/>
    <n v="8.4056399132321047E-2"/>
  </r>
  <r>
    <x v="284"/>
    <x v="2"/>
    <x v="225"/>
    <x v="0"/>
    <s v="New music just dropped. Hit play!"/>
    <n v="1334"/>
    <n v="357"/>
    <n v="257"/>
    <n v="56910"/>
    <n v="70606"/>
    <n v="228"/>
    <x v="1"/>
    <x v="2"/>
    <x v="1"/>
    <n v="3.4229485151994379E-2"/>
  </r>
  <r>
    <x v="285"/>
    <x v="0"/>
    <x v="98"/>
    <x v="0"/>
    <s v="Get into the groove with our new drop!"/>
    <n v="3359"/>
    <n v="137"/>
    <n v="387"/>
    <n v="33861"/>
    <n v="47257"/>
    <n v="198"/>
    <x v="1"/>
    <x v="1"/>
    <x v="1"/>
    <n v="0.11467469950680724"/>
  </r>
  <r>
    <x v="286"/>
    <x v="2"/>
    <x v="226"/>
    <x v="0"/>
    <s v="Your weekend playlist is waiting."/>
    <n v="2172"/>
    <n v="338"/>
    <n v="70"/>
    <n v="30515"/>
    <n v="57853"/>
    <n v="156"/>
    <x v="1"/>
    <x v="2"/>
    <x v="1"/>
    <n v="8.4548582664263475E-2"/>
  </r>
  <r>
    <x v="287"/>
    <x v="1"/>
    <x v="151"/>
    <x v="1"/>
    <s v="From pop to podcasts, itâ€™s all here."/>
    <n v="4877"/>
    <n v="442"/>
    <n v="236"/>
    <n v="52673"/>
    <n v="48241"/>
    <n v="114"/>
    <x v="1"/>
    <x v="3"/>
    <x v="0"/>
    <n v="0.10546200140489435"/>
  </r>
  <r>
    <x v="288"/>
    <x v="0"/>
    <x v="74"/>
    <x v="1"/>
    <s v="New music just dropped. Hit play!"/>
    <n v="4918"/>
    <n v="440"/>
    <n v="149"/>
    <n v="53269"/>
    <n v="64370"/>
    <n v="269"/>
    <x v="3"/>
    <x v="1"/>
    <x v="2"/>
    <n v="0.10338095327488783"/>
  </r>
  <r>
    <x v="289"/>
    <x v="1"/>
    <x v="227"/>
    <x v="0"/>
    <s v="Explore the latest podcasts now."/>
    <n v="3418"/>
    <n v="107"/>
    <n v="221"/>
    <n v="23927"/>
    <n v="26182"/>
    <n v="155"/>
    <x v="0"/>
    <x v="1"/>
    <x v="1"/>
    <n v="0.1565595352530614"/>
  </r>
  <r>
    <x v="290"/>
    <x v="0"/>
    <x v="228"/>
    <x v="0"/>
    <s v="Your weekend playlist is waiting."/>
    <n v="2088"/>
    <n v="490"/>
    <n v="124"/>
    <n v="46544"/>
    <n v="69346"/>
    <n v="178"/>
    <x v="0"/>
    <x v="0"/>
    <x v="0"/>
    <n v="5.8052595393606049E-2"/>
  </r>
  <r>
    <x v="291"/>
    <x v="1"/>
    <x v="59"/>
    <x v="1"/>
    <s v="Explore the latest podcasts now."/>
    <n v="3061"/>
    <n v="320"/>
    <n v="76"/>
    <n v="26640"/>
    <n v="24306"/>
    <n v="112"/>
    <x v="2"/>
    <x v="0"/>
    <x v="0"/>
    <n v="0.12976726726726726"/>
  </r>
  <r>
    <x v="292"/>
    <x v="2"/>
    <x v="229"/>
    <x v="2"/>
    <s v="Your weekend playlist is waiting."/>
    <n v="1265"/>
    <n v="230"/>
    <n v="364"/>
    <n v="41312"/>
    <n v="50382"/>
    <n v="106"/>
    <x v="1"/>
    <x v="4"/>
    <x v="3"/>
    <n v="4.4999031758326875E-2"/>
  </r>
  <r>
    <x v="293"/>
    <x v="0"/>
    <x v="230"/>
    <x v="0"/>
    <s v="From pop to podcasts, itâ€™s all here."/>
    <n v="1436"/>
    <n v="219"/>
    <n v="229"/>
    <n v="58488"/>
    <n v="24314"/>
    <n v="147"/>
    <x v="1"/>
    <x v="1"/>
    <x v="1"/>
    <n v="3.221173574066475E-2"/>
  </r>
  <r>
    <x v="294"/>
    <x v="0"/>
    <x v="231"/>
    <x v="1"/>
    <s v="Top trending tracks updated daily!"/>
    <n v="2244"/>
    <n v="392"/>
    <n v="231"/>
    <n v="25834"/>
    <n v="50906"/>
    <n v="165"/>
    <x v="3"/>
    <x v="1"/>
    <x v="2"/>
    <n v="0.1109777812185492"/>
  </r>
  <r>
    <x v="295"/>
    <x v="1"/>
    <x v="123"/>
    <x v="1"/>
    <s v="Your weekend playlist is waiting."/>
    <n v="3393"/>
    <n v="104"/>
    <n v="79"/>
    <n v="30025"/>
    <n v="21593"/>
    <n v="165"/>
    <x v="2"/>
    <x v="0"/>
    <x v="0"/>
    <n v="0.1191007493755204"/>
  </r>
  <r>
    <x v="296"/>
    <x v="1"/>
    <x v="213"/>
    <x v="0"/>
    <s v="Explore the latest podcasts now."/>
    <n v="2901"/>
    <n v="108"/>
    <n v="86"/>
    <n v="51777"/>
    <n v="23773"/>
    <n v="160"/>
    <x v="0"/>
    <x v="1"/>
    <x v="1"/>
    <n v="5.9775576027966085E-2"/>
  </r>
  <r>
    <x v="297"/>
    <x v="1"/>
    <x v="232"/>
    <x v="0"/>
    <s v="Whatâ€™s your vibe today? #SpotifyHits"/>
    <n v="2275"/>
    <n v="285"/>
    <n v="125"/>
    <n v="43970"/>
    <n v="74761"/>
    <n v="83"/>
    <x v="3"/>
    <x v="1"/>
    <x v="0"/>
    <n v="6.1064362065044349E-2"/>
  </r>
  <r>
    <x v="298"/>
    <x v="1"/>
    <x v="233"/>
    <x v="1"/>
    <s v="Wrapped is here! Relive your top tracks ðŸŽ§"/>
    <n v="2227"/>
    <n v="494"/>
    <n v="161"/>
    <n v="51651"/>
    <n v="68074"/>
    <n v="240"/>
    <x v="1"/>
    <x v="3"/>
    <x v="0"/>
    <n v="5.5797564422760453E-2"/>
  </r>
  <r>
    <x v="299"/>
    <x v="0"/>
    <x v="234"/>
    <x v="0"/>
    <s v="Music that moves youâ€”only on Spotify."/>
    <n v="1883"/>
    <n v="432"/>
    <n v="397"/>
    <n v="28759"/>
    <n v="18691"/>
    <n v="270"/>
    <x v="0"/>
    <x v="0"/>
    <x v="0"/>
    <n v="9.4300914496331587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334"/>
    <n v="124562"/>
    <n v="9.92"/>
    <n v="23125"/>
    <n v="0"/>
    <x v="0"/>
    <n v="4.2897297297297298E-4"/>
  </r>
  <r>
    <x v="0"/>
    <x v="1"/>
    <n v="995"/>
    <n v="86"/>
    <n v="909"/>
    <n v="227958"/>
    <n v="8.0500000000000007"/>
    <n v="22788"/>
    <n v="0"/>
    <x v="0"/>
    <n v="3.5325609970159738E-4"/>
  </r>
  <r>
    <x v="0"/>
    <x v="2"/>
    <n v="1472"/>
    <n v="296"/>
    <n v="1176"/>
    <n v="370242"/>
    <n v="7.72"/>
    <n v="7810"/>
    <n v="0"/>
    <x v="0"/>
    <n v="9.8847631241997429E-4"/>
  </r>
  <r>
    <x v="1"/>
    <x v="0"/>
    <n v="1018"/>
    <n v="90"/>
    <n v="928"/>
    <n v="92474"/>
    <n v="9.4"/>
    <n v="11966"/>
    <n v="-0.257606653714616"/>
    <x v="0"/>
    <n v="7.855590840715361E-4"/>
  </r>
  <r>
    <x v="1"/>
    <x v="1"/>
    <n v="1461"/>
    <n v="64"/>
    <n v="1397"/>
    <n v="328902"/>
    <n v="9.02"/>
    <n v="26298"/>
    <n v="0.44281841391835336"/>
    <x v="0"/>
    <n v="3.4299186249904935E-4"/>
  </r>
  <r>
    <x v="1"/>
    <x v="2"/>
    <n v="545"/>
    <n v="93"/>
    <n v="452"/>
    <n v="391621"/>
    <n v="9.9600000000000009"/>
    <n v="22029"/>
    <n v="5.7743313832574368E-2"/>
    <x v="0"/>
    <n v="4.5213128149257798E-4"/>
  </r>
  <r>
    <x v="2"/>
    <x v="0"/>
    <n v="881"/>
    <n v="291"/>
    <n v="590"/>
    <n v="95885"/>
    <n v="5.29"/>
    <n v="12391"/>
    <n v="3.6886043644700134E-2"/>
    <x v="1"/>
    <n v="4.2692276652409007E-4"/>
  </r>
  <r>
    <x v="2"/>
    <x v="1"/>
    <n v="1414"/>
    <n v="131"/>
    <n v="1283"/>
    <n v="245947"/>
    <n v="8.3000000000000007"/>
    <n v="14477"/>
    <n v="-0.25221798590461597"/>
    <x v="1"/>
    <n v="5.7332320232092286E-4"/>
  </r>
  <r>
    <x v="2"/>
    <x v="2"/>
    <n v="1472"/>
    <n v="170"/>
    <n v="1302"/>
    <n v="250428"/>
    <n v="4.66"/>
    <n v="25040"/>
    <n v="-0.36053480278126043"/>
    <x v="1"/>
    <n v="1.8610223642172524E-4"/>
  </r>
  <r>
    <x v="3"/>
    <x v="0"/>
    <n v="809"/>
    <n v="197"/>
    <n v="612"/>
    <n v="87186"/>
    <n v="9.48"/>
    <n v="22619"/>
    <n v="-9.0723262241226468E-2"/>
    <x v="1"/>
    <n v="4.191166718245723E-4"/>
  </r>
  <r>
    <x v="3"/>
    <x v="1"/>
    <n v="1371"/>
    <n v="250"/>
    <n v="1121"/>
    <n v="128620"/>
    <n v="7.11"/>
    <n v="12399"/>
    <n v="-0.47704180168898175"/>
    <x v="1"/>
    <n v="5.7343334139849989E-4"/>
  </r>
  <r>
    <x v="3"/>
    <x v="2"/>
    <n v="844"/>
    <n v="144"/>
    <n v="700"/>
    <n v="126015"/>
    <n v="9.65"/>
    <n v="22456"/>
    <n v="-0.49680147587330492"/>
    <x v="1"/>
    <n v="4.2972924830780195E-4"/>
  </r>
  <r>
    <x v="4"/>
    <x v="0"/>
    <n v="786"/>
    <n v="72"/>
    <n v="714"/>
    <n v="178615"/>
    <n v="5.43"/>
    <n v="19328"/>
    <n v="1.048666070240635"/>
    <x v="1"/>
    <n v="2.8093956953642384E-4"/>
  </r>
  <r>
    <x v="4"/>
    <x v="1"/>
    <n v="845"/>
    <n v="250"/>
    <n v="595"/>
    <n v="218228"/>
    <n v="4.5199999999999996"/>
    <n v="21107"/>
    <n v="0.69668791789768314"/>
    <x v="1"/>
    <n v="2.1414696546169515E-4"/>
  </r>
  <r>
    <x v="4"/>
    <x v="2"/>
    <n v="1218"/>
    <n v="101"/>
    <n v="1117"/>
    <n v="300397"/>
    <n v="4.33"/>
    <n v="12277"/>
    <n v="1.3838193865809625"/>
    <x v="1"/>
    <n v="3.5269202573918708E-4"/>
  </r>
  <r>
    <x v="5"/>
    <x v="0"/>
    <n v="797"/>
    <n v="130"/>
    <n v="667"/>
    <n v="340121"/>
    <n v="8.52"/>
    <n v="11684"/>
    <n v="0.90421297203482354"/>
    <x v="1"/>
    <n v="7.2920232796987335E-4"/>
  </r>
  <r>
    <x v="5"/>
    <x v="1"/>
    <n v="1471"/>
    <n v="100"/>
    <n v="1371"/>
    <n v="76866"/>
    <n v="8.5500000000000007"/>
    <n v="14412"/>
    <n v="-0.64777205491504297"/>
    <x v="1"/>
    <n v="5.9325562031640306E-4"/>
  </r>
  <r>
    <x v="5"/>
    <x v="2"/>
    <n v="1253"/>
    <n v="136"/>
    <n v="1117"/>
    <n v="193131"/>
    <n v="7.99"/>
    <n v="15924"/>
    <n v="-0.35708079641274715"/>
    <x v="1"/>
    <n v="5.017583521728209E-4"/>
  </r>
  <r>
    <x v="6"/>
    <x v="0"/>
    <n v="616"/>
    <n v="257"/>
    <n v="359"/>
    <n v="169665"/>
    <n v="6.31"/>
    <n v="12390"/>
    <n v="-0.50116282146647806"/>
    <x v="1"/>
    <n v="5.0928167877320419E-4"/>
  </r>
  <r>
    <x v="6"/>
    <x v="1"/>
    <n v="1308"/>
    <n v="210"/>
    <n v="1098"/>
    <n v="263729"/>
    <n v="8.5299999999999994"/>
    <n v="25742"/>
    <n v="2.4310228189316474"/>
    <x v="1"/>
    <n v="3.3136508429803434E-4"/>
  </r>
  <r>
    <x v="6"/>
    <x v="2"/>
    <n v="981"/>
    <n v="69"/>
    <n v="912"/>
    <n v="206921"/>
    <n v="8.42"/>
    <n v="10495"/>
    <n v="7.1402312420067213E-2"/>
    <x v="1"/>
    <n v="8.0228680323963793E-4"/>
  </r>
  <r>
    <x v="7"/>
    <x v="0"/>
    <n v="866"/>
    <n v="74"/>
    <n v="792"/>
    <n v="204121"/>
    <n v="9.34"/>
    <n v="7797"/>
    <n v="0.20308254501517697"/>
    <x v="0"/>
    <n v="1.197896626907785E-3"/>
  </r>
  <r>
    <x v="7"/>
    <x v="1"/>
    <n v="547"/>
    <n v="183"/>
    <n v="364"/>
    <n v="266350"/>
    <n v="5.65"/>
    <n v="15595"/>
    <n v="9.9382320488076784E-3"/>
    <x v="0"/>
    <n v="3.6229560756652774E-4"/>
  </r>
  <r>
    <x v="7"/>
    <x v="2"/>
    <n v="1241"/>
    <n v="116"/>
    <n v="1125"/>
    <n v="380606"/>
    <n v="4.2"/>
    <n v="24617"/>
    <n v="0.83937831346262581"/>
    <x v="0"/>
    <n v="1.7061380346914735E-4"/>
  </r>
  <r>
    <x v="8"/>
    <x v="0"/>
    <n v="973"/>
    <n v="104"/>
    <n v="869"/>
    <n v="376358"/>
    <n v="3.87"/>
    <n v="9847"/>
    <n v="0.84379853126331927"/>
    <x v="0"/>
    <n v="3.9301310043668122E-4"/>
  </r>
  <r>
    <x v="8"/>
    <x v="1"/>
    <n v="611"/>
    <n v="197"/>
    <n v="414"/>
    <n v="79423"/>
    <n v="5.82"/>
    <n v="13644"/>
    <n v="-0.7018096489581378"/>
    <x v="0"/>
    <n v="4.2656112576956907E-4"/>
  </r>
  <r>
    <x v="8"/>
    <x v="2"/>
    <n v="983"/>
    <n v="134"/>
    <n v="849"/>
    <n v="352178"/>
    <n v="3.55"/>
    <n v="11421"/>
    <n v="-7.4691413167422477E-2"/>
    <x v="0"/>
    <n v="3.1083092548813589E-4"/>
  </r>
  <r>
    <x v="9"/>
    <x v="0"/>
    <n v="1449"/>
    <n v="96"/>
    <n v="1353"/>
    <n v="200636"/>
    <n v="9.92"/>
    <n v="15613"/>
    <n v="-0.46690119513867118"/>
    <x v="0"/>
    <n v="6.353679625952732E-4"/>
  </r>
  <r>
    <x v="9"/>
    <x v="1"/>
    <n v="752"/>
    <n v="170"/>
    <n v="582"/>
    <n v="132756"/>
    <n v="8.17"/>
    <n v="23900"/>
    <n v="0.67150573511451339"/>
    <x v="0"/>
    <n v="3.418410041841004E-4"/>
  </r>
  <r>
    <x v="9"/>
    <x v="2"/>
    <n v="937"/>
    <n v="179"/>
    <n v="758"/>
    <n v="318098"/>
    <n v="5.3"/>
    <n v="5836"/>
    <n v="-9.6769247369228067E-2"/>
    <x v="0"/>
    <n v="9.0815627141877994E-4"/>
  </r>
  <r>
    <x v="10"/>
    <x v="0"/>
    <n v="1060"/>
    <n v="83"/>
    <n v="977"/>
    <n v="68724"/>
    <n v="5.98"/>
    <n v="5624"/>
    <n v="-0.65746924779202143"/>
    <x v="0"/>
    <n v="1.0633001422475107E-3"/>
  </r>
  <r>
    <x v="10"/>
    <x v="1"/>
    <n v="1456"/>
    <n v="265"/>
    <n v="1191"/>
    <n v="115505"/>
    <n v="7.49"/>
    <n v="10311"/>
    <n v="-0.12994516255385821"/>
    <x v="0"/>
    <n v="7.26408689748812E-4"/>
  </r>
  <r>
    <x v="10"/>
    <x v="2"/>
    <n v="1109"/>
    <n v="205"/>
    <n v="904"/>
    <n v="276722"/>
    <n v="9.3800000000000008"/>
    <n v="8274"/>
    <n v="-0.13007312211959837"/>
    <x v="0"/>
    <n v="1.1336717428087988E-3"/>
  </r>
  <r>
    <x v="11"/>
    <x v="0"/>
    <n v="1002"/>
    <n v="93"/>
    <n v="909"/>
    <n v="353538"/>
    <n v="5.84"/>
    <n v="6031"/>
    <n v="4.1443163960188585"/>
    <x v="0"/>
    <n v="9.683302934836677E-4"/>
  </r>
  <r>
    <x v="11"/>
    <x v="1"/>
    <n v="571"/>
    <n v="189"/>
    <n v="382"/>
    <n v="61445"/>
    <n v="5.41"/>
    <n v="27829"/>
    <n v="-0.46803168693995933"/>
    <x v="0"/>
    <n v="1.9440152359049913E-4"/>
  </r>
  <r>
    <x v="11"/>
    <x v="2"/>
    <n v="1240"/>
    <n v="231"/>
    <n v="1009"/>
    <n v="165035"/>
    <n v="6.05"/>
    <n v="18267"/>
    <n v="-0.4036072303611567"/>
    <x v="0"/>
    <n v="3.3119833579679201E-4"/>
  </r>
  <r>
    <x v="12"/>
    <x v="0"/>
    <n v="1154"/>
    <n v="132"/>
    <n v="1022"/>
    <n v="194595"/>
    <n v="7.54"/>
    <n v="26624"/>
    <n v="-0.4495782631570015"/>
    <x v="0"/>
    <n v="2.8320312499999998E-4"/>
  </r>
  <r>
    <x v="12"/>
    <x v="1"/>
    <n v="537"/>
    <n v="275"/>
    <n v="262"/>
    <n v="236238"/>
    <n v="5.87"/>
    <n v="26644"/>
    <n v="2.8447066482219872"/>
    <x v="0"/>
    <n v="2.2031226542561176E-4"/>
  </r>
  <r>
    <x v="12"/>
    <x v="2"/>
    <n v="1456"/>
    <n v="290"/>
    <n v="1166"/>
    <n v="271044"/>
    <n v="7.17"/>
    <n v="13051"/>
    <n v="0.64234253340200564"/>
    <x v="0"/>
    <n v="5.4938318902766068E-4"/>
  </r>
  <r>
    <x v="13"/>
    <x v="0"/>
    <n v="721"/>
    <n v="206"/>
    <n v="515"/>
    <n v="334887"/>
    <n v="6.05"/>
    <n v="14217"/>
    <n v="0.72094349803437907"/>
    <x v="0"/>
    <n v="4.2554688049518182E-4"/>
  </r>
  <r>
    <x v="13"/>
    <x v="1"/>
    <n v="1098"/>
    <n v="142"/>
    <n v="956"/>
    <n v="359150"/>
    <n v="7.51"/>
    <n v="16385"/>
    <n v="0.5202888612331632"/>
    <x v="0"/>
    <n v="4.5834604821483061E-4"/>
  </r>
  <r>
    <x v="13"/>
    <x v="2"/>
    <n v="1096"/>
    <n v="65"/>
    <n v="1031"/>
    <n v="358295"/>
    <n v="7.66"/>
    <n v="24548"/>
    <n v="0.32190714422750549"/>
    <x v="0"/>
    <n v="3.1204171419260224E-4"/>
  </r>
  <r>
    <x v="14"/>
    <x v="0"/>
    <n v="912"/>
    <n v="275"/>
    <n v="637"/>
    <n v="368454"/>
    <n v="6.03"/>
    <n v="9195"/>
    <n v="0.10023381021060836"/>
    <x v="0"/>
    <n v="6.5579119086460035E-4"/>
  </r>
  <r>
    <x v="14"/>
    <x v="1"/>
    <n v="1430"/>
    <n v="162"/>
    <n v="1268"/>
    <n v="269082"/>
    <n v="3.4"/>
    <n v="18071"/>
    <n v="-0.250781010719755"/>
    <x v="0"/>
    <n v="1.8814675446848542E-4"/>
  </r>
  <r>
    <x v="14"/>
    <x v="2"/>
    <n v="854"/>
    <n v="129"/>
    <n v="725"/>
    <n v="310903"/>
    <n v="7.83"/>
    <n v="16875"/>
    <n v="-0.13227089409564743"/>
    <x v="0"/>
    <n v="4.64E-4"/>
  </r>
  <r>
    <x v="15"/>
    <x v="0"/>
    <n v="681"/>
    <n v="210"/>
    <n v="471"/>
    <n v="248581"/>
    <n v="8.76"/>
    <n v="9567"/>
    <n v="-0.32534047669451277"/>
    <x v="0"/>
    <n v="9.1564753841329573E-4"/>
  </r>
  <r>
    <x v="15"/>
    <x v="1"/>
    <n v="1373"/>
    <n v="82"/>
    <n v="1291"/>
    <n v="371015"/>
    <n v="9.52"/>
    <n v="20306"/>
    <n v="0.37881760950193621"/>
    <x v="0"/>
    <n v="4.6882694770018714E-4"/>
  </r>
  <r>
    <x v="15"/>
    <x v="2"/>
    <n v="685"/>
    <n v="285"/>
    <n v="400"/>
    <n v="177452"/>
    <n v="3.36"/>
    <n v="21134"/>
    <n v="-0.42923677159757223"/>
    <x v="0"/>
    <n v="1.5898552096148386E-4"/>
  </r>
  <r>
    <x v="16"/>
    <x v="0"/>
    <n v="1290"/>
    <n v="177"/>
    <n v="1113"/>
    <n v="80745"/>
    <n v="9.2200000000000006"/>
    <n v="26872"/>
    <n v="-0.67517630068267487"/>
    <x v="0"/>
    <n v="3.4310806787734449E-4"/>
  </r>
  <r>
    <x v="16"/>
    <x v="1"/>
    <n v="1437"/>
    <n v="239"/>
    <n v="1198"/>
    <n v="362441"/>
    <n v="5.57"/>
    <n v="10253"/>
    <n v="-2.310957777987413E-2"/>
    <x v="0"/>
    <n v="5.4325563249780552E-4"/>
  </r>
  <r>
    <x v="16"/>
    <x v="2"/>
    <n v="769"/>
    <n v="295"/>
    <n v="474"/>
    <n v="344771"/>
    <n v="8.06"/>
    <n v="23963"/>
    <n v="0.94289723418163784"/>
    <x v="0"/>
    <n v="3.3635187580853819E-4"/>
  </r>
  <r>
    <x v="17"/>
    <x v="0"/>
    <n v="1416"/>
    <n v="284"/>
    <n v="1132"/>
    <n v="374952"/>
    <n v="3.45"/>
    <n v="11335"/>
    <n v="3.6436559539290361"/>
    <x v="0"/>
    <n v="3.0436700485222761E-4"/>
  </r>
  <r>
    <x v="17"/>
    <x v="1"/>
    <n v="998"/>
    <n v="154"/>
    <n v="844"/>
    <n v="179781"/>
    <n v="9.58"/>
    <n v="12115"/>
    <n v="-0.50397168090806499"/>
    <x v="0"/>
    <n v="7.9075526207181182E-4"/>
  </r>
  <r>
    <x v="17"/>
    <x v="2"/>
    <n v="1421"/>
    <n v="246"/>
    <n v="1175"/>
    <n v="358581"/>
    <n v="8.8800000000000008"/>
    <n v="24358"/>
    <n v="4.0055573119548916E-2"/>
    <x v="0"/>
    <n v="3.6456195089908864E-4"/>
  </r>
  <r>
    <x v="18"/>
    <x v="0"/>
    <n v="764"/>
    <n v="205"/>
    <n v="559"/>
    <n v="319294"/>
    <n v="6.23"/>
    <n v="12181"/>
    <n v="-0.14844033369604642"/>
    <x v="0"/>
    <n v="5.114522617190707E-4"/>
  </r>
  <r>
    <x v="18"/>
    <x v="1"/>
    <n v="678"/>
    <n v="124"/>
    <n v="554"/>
    <n v="192022"/>
    <n v="8.4499999999999993"/>
    <n v="17729"/>
    <n v="6.8088396437888318E-2"/>
    <x v="0"/>
    <n v="4.7662022674713742E-4"/>
  </r>
  <r>
    <x v="18"/>
    <x v="2"/>
    <n v="1328"/>
    <n v="103"/>
    <n v="1225"/>
    <n v="151462"/>
    <n v="8.4"/>
    <n v="10881"/>
    <n v="-0.57760729096075925"/>
    <x v="0"/>
    <n v="7.7198786876206231E-4"/>
  </r>
  <r>
    <x v="19"/>
    <x v="0"/>
    <n v="1161"/>
    <n v="269"/>
    <n v="892"/>
    <n v="188193"/>
    <n v="7.34"/>
    <n v="18576"/>
    <n v="-0.41059650353592614"/>
    <x v="0"/>
    <n v="3.9513350559862187E-4"/>
  </r>
  <r>
    <x v="19"/>
    <x v="1"/>
    <n v="588"/>
    <n v="52"/>
    <n v="536"/>
    <n v="292040"/>
    <n v="8.14"/>
    <n v="9383"/>
    <n v="0.52086740061034675"/>
    <x v="0"/>
    <n v="8.6752637749120754E-4"/>
  </r>
  <r>
    <x v="19"/>
    <x v="2"/>
    <n v="1457"/>
    <n v="215"/>
    <n v="1242"/>
    <n v="325325"/>
    <n v="9.58"/>
    <n v="14178"/>
    <n v="1.1478984827877619"/>
    <x v="0"/>
    <n v="6.756947383269855E-4"/>
  </r>
  <r>
    <x v="20"/>
    <x v="0"/>
    <n v="1190"/>
    <n v="242"/>
    <n v="948"/>
    <n v="86849"/>
    <n v="8.06"/>
    <n v="21254"/>
    <n v="-0.5385109966895687"/>
    <x v="0"/>
    <n v="3.7922273454408584E-4"/>
  </r>
  <r>
    <x v="20"/>
    <x v="1"/>
    <n v="886"/>
    <n v="124"/>
    <n v="762"/>
    <n v="141161"/>
    <n v="8.19"/>
    <n v="14215"/>
    <n v="-0.51663813176277218"/>
    <x v="0"/>
    <n v="5.7615195216320788E-4"/>
  </r>
  <r>
    <x v="20"/>
    <x v="2"/>
    <n v="1237"/>
    <n v="155"/>
    <n v="1082"/>
    <n v="149916"/>
    <n v="4.4800000000000004"/>
    <n v="16921"/>
    <n v="-0.53918081918081917"/>
    <x v="0"/>
    <n v="2.6475976597127831E-4"/>
  </r>
  <r>
    <x v="21"/>
    <x v="0"/>
    <n v="1435"/>
    <n v="261"/>
    <n v="1174"/>
    <n v="308533"/>
    <n v="4.5199999999999996"/>
    <n v="25130"/>
    <n v="2.5525221936925009"/>
    <x v="0"/>
    <n v="1.7986470354158375E-4"/>
  </r>
  <r>
    <x v="21"/>
    <x v="1"/>
    <n v="746"/>
    <n v="282"/>
    <n v="464"/>
    <n v="293894"/>
    <n v="5.42"/>
    <n v="25537"/>
    <n v="1.081977316680953"/>
    <x v="0"/>
    <n v="2.1224106198848729E-4"/>
  </r>
  <r>
    <x v="21"/>
    <x v="2"/>
    <n v="759"/>
    <n v="216"/>
    <n v="543"/>
    <n v="147656"/>
    <n v="4.08"/>
    <n v="24943"/>
    <n v="-1.5075108727554097E-2"/>
    <x v="0"/>
    <n v="1.6357294631760415E-4"/>
  </r>
  <r>
    <x v="22"/>
    <x v="0"/>
    <n v="1437"/>
    <n v="235"/>
    <n v="1202"/>
    <n v="326791"/>
    <n v="4.0599999999999996"/>
    <n v="14563"/>
    <n v="5.9176814149539916E-2"/>
    <x v="0"/>
    <n v="2.7878871111721484E-4"/>
  </r>
  <r>
    <x v="22"/>
    <x v="1"/>
    <n v="1463"/>
    <n v="73"/>
    <n v="1390"/>
    <n v="348877"/>
    <n v="9.91"/>
    <n v="26273"/>
    <n v="0.18708445902264081"/>
    <x v="0"/>
    <n v="3.7719331633235642E-4"/>
  </r>
  <r>
    <x v="22"/>
    <x v="2"/>
    <n v="1208"/>
    <n v="224"/>
    <n v="984"/>
    <n v="122730"/>
    <n v="8.7200000000000006"/>
    <n v="10858"/>
    <n v="-0.16881129110906432"/>
    <x v="0"/>
    <n v="8.0309449254006274E-4"/>
  </r>
  <r>
    <x v="23"/>
    <x v="0"/>
    <n v="1391"/>
    <n v="187"/>
    <n v="1204"/>
    <n v="306508"/>
    <n v="8.3800000000000008"/>
    <n v="25038"/>
    <n v="-6.2067192792947173E-2"/>
    <x v="0"/>
    <n v="3.3469126927070857E-4"/>
  </r>
  <r>
    <x v="23"/>
    <x v="1"/>
    <n v="655"/>
    <n v="123"/>
    <n v="532"/>
    <n v="202472"/>
    <n v="7.56"/>
    <n v="9092"/>
    <n v="-0.41964646565981706"/>
    <x v="0"/>
    <n v="8.3150021997360313E-4"/>
  </r>
  <r>
    <x v="23"/>
    <x v="2"/>
    <n v="1148"/>
    <n v="90"/>
    <n v="1058"/>
    <n v="227249"/>
    <n v="7.24"/>
    <n v="17662"/>
    <n v="0.85161737146581928"/>
    <x v="0"/>
    <n v="4.0991960140414449E-4"/>
  </r>
  <r>
    <x v="24"/>
    <x v="0"/>
    <n v="946"/>
    <n v="270"/>
    <n v="676"/>
    <n v="246567"/>
    <n v="4.53"/>
    <n v="5924"/>
    <n v="-0.19556096415101726"/>
    <x v="0"/>
    <n v="7.6468602295746123E-4"/>
  </r>
  <r>
    <x v="24"/>
    <x v="1"/>
    <n v="791"/>
    <n v="214"/>
    <n v="577"/>
    <n v="114738"/>
    <n v="6.62"/>
    <n v="25347"/>
    <n v="-0.43331423604251451"/>
    <x v="0"/>
    <n v="2.6117489249220815E-4"/>
  </r>
  <r>
    <x v="24"/>
    <x v="2"/>
    <n v="793"/>
    <n v="111"/>
    <n v="682"/>
    <n v="333500"/>
    <n v="6.36"/>
    <n v="8910"/>
    <n v="0.46755321255539078"/>
    <x v="0"/>
    <n v="7.1380471380471386E-4"/>
  </r>
  <r>
    <x v="25"/>
    <x v="0"/>
    <n v="663"/>
    <n v="213"/>
    <n v="450"/>
    <n v="352677"/>
    <n v="9"/>
    <n v="20438"/>
    <n v="0.43034956016011877"/>
    <x v="0"/>
    <n v="4.4035619923671592E-4"/>
  </r>
  <r>
    <x v="25"/>
    <x v="1"/>
    <n v="954"/>
    <n v="271"/>
    <n v="683"/>
    <n v="160936"/>
    <n v="8.83"/>
    <n v="8760"/>
    <n v="0.40263905593613275"/>
    <x v="0"/>
    <n v="1.0079908675799086E-3"/>
  </r>
  <r>
    <x v="25"/>
    <x v="2"/>
    <n v="1313"/>
    <n v="159"/>
    <n v="1154"/>
    <n v="197183"/>
    <n v="9.7100000000000009"/>
    <n v="6625"/>
    <n v="-0.40874662668665668"/>
    <x v="0"/>
    <n v="1.4656603773584907E-3"/>
  </r>
  <r>
    <x v="26"/>
    <x v="0"/>
    <n v="895"/>
    <n v="87"/>
    <n v="808"/>
    <n v="171271"/>
    <n v="6.68"/>
    <n v="23329"/>
    <n v="-0.51436867161737232"/>
    <x v="2"/>
    <n v="2.8633889150842299E-4"/>
  </r>
  <r>
    <x v="26"/>
    <x v="1"/>
    <n v="1027"/>
    <n v="156"/>
    <n v="871"/>
    <n v="111293"/>
    <n v="5.51"/>
    <n v="7299"/>
    <n v="-0.30846423422975594"/>
    <x v="2"/>
    <n v="7.5489793122345526E-4"/>
  </r>
  <r>
    <x v="26"/>
    <x v="2"/>
    <n v="990"/>
    <n v="286"/>
    <n v="704"/>
    <n v="351493"/>
    <n v="7.97"/>
    <n v="14496"/>
    <n v="0.78257253414340988"/>
    <x v="2"/>
    <n v="5.4980684326710817E-4"/>
  </r>
  <r>
    <x v="27"/>
    <x v="0"/>
    <n v="875"/>
    <n v="264"/>
    <n v="611"/>
    <n v="345631"/>
    <n v="9.18"/>
    <n v="25703"/>
    <n v="1.0180357445218398"/>
    <x v="2"/>
    <n v="3.5715675213010155E-4"/>
  </r>
  <r>
    <x v="27"/>
    <x v="1"/>
    <n v="599"/>
    <n v="194"/>
    <n v="405"/>
    <n v="105622"/>
    <n v="6.44"/>
    <n v="15108"/>
    <n v="-5.0955585706198951E-2"/>
    <x v="2"/>
    <n v="4.2626423087106173E-4"/>
  </r>
  <r>
    <x v="27"/>
    <x v="2"/>
    <n v="630"/>
    <n v="248"/>
    <n v="382"/>
    <n v="119054"/>
    <n v="5.0199999999999996"/>
    <n v="18867"/>
    <n v="-0.66129055201668308"/>
    <x v="2"/>
    <n v="2.6607303757884132E-4"/>
  </r>
  <r>
    <x v="28"/>
    <x v="0"/>
    <n v="1350"/>
    <n v="233"/>
    <n v="1117"/>
    <n v="171670"/>
    <n v="4.53"/>
    <n v="17574"/>
    <n v="-0.50331422817976401"/>
    <x v="2"/>
    <n v="2.5776715602594743E-4"/>
  </r>
  <r>
    <x v="28"/>
    <x v="1"/>
    <n v="632"/>
    <n v="155"/>
    <n v="477"/>
    <n v="170432"/>
    <n v="9.17"/>
    <n v="12840"/>
    <n v="0.6136032266005188"/>
    <x v="2"/>
    <n v="7.1417445482866045E-4"/>
  </r>
  <r>
    <x v="28"/>
    <x v="2"/>
    <n v="1182"/>
    <n v="83"/>
    <n v="1099"/>
    <n v="140300"/>
    <n v="3.27"/>
    <n v="21079"/>
    <n v="0.17845683471365933"/>
    <x v="2"/>
    <n v="1.5513069879975332E-4"/>
  </r>
  <r>
    <x v="29"/>
    <x v="0"/>
    <n v="661"/>
    <n v="94"/>
    <n v="567"/>
    <n v="116538"/>
    <n v="5.31"/>
    <n v="23486"/>
    <n v="-0.32115104561076485"/>
    <x v="2"/>
    <n v="2.2609213999829684E-4"/>
  </r>
  <r>
    <x v="29"/>
    <x v="1"/>
    <n v="1360"/>
    <n v="227"/>
    <n v="1133"/>
    <n v="176902"/>
    <n v="6.03"/>
    <n v="5960"/>
    <n v="3.7962354487420205E-2"/>
    <x v="2"/>
    <n v="1.011744966442953E-3"/>
  </r>
  <r>
    <x v="29"/>
    <x v="2"/>
    <n v="935"/>
    <n v="85"/>
    <n v="850"/>
    <n v="326821"/>
    <n v="8.89"/>
    <n v="13301"/>
    <n v="1.3294440484675696"/>
    <x v="2"/>
    <n v="6.6837079918803102E-4"/>
  </r>
  <r>
    <x v="30"/>
    <x v="0"/>
    <n v="664"/>
    <n v="251"/>
    <n v="413"/>
    <n v="240598"/>
    <n v="4.79"/>
    <n v="10563"/>
    <n v="1.0645454701470765"/>
    <x v="2"/>
    <n v="4.5346965824103001E-4"/>
  </r>
  <r>
    <x v="30"/>
    <x v="1"/>
    <n v="1490"/>
    <n v="103"/>
    <n v="1387"/>
    <n v="373274"/>
    <n v="4.8"/>
    <n v="19949"/>
    <n v="1.1100609376943167"/>
    <x v="2"/>
    <n v="2.4061356458970375E-4"/>
  </r>
  <r>
    <x v="30"/>
    <x v="2"/>
    <n v="601"/>
    <n v="64"/>
    <n v="537"/>
    <n v="123272"/>
    <n v="4.07"/>
    <n v="14273"/>
    <n v="-0.62281493539276855"/>
    <x v="2"/>
    <n v="2.8515378687031458E-4"/>
  </r>
  <r>
    <x v="31"/>
    <x v="0"/>
    <n v="613"/>
    <n v="170"/>
    <n v="443"/>
    <n v="139266"/>
    <n v="6.06"/>
    <n v="9247"/>
    <n v="-0.42116725824819823"/>
    <x v="0"/>
    <n v="6.5534768032875527E-4"/>
  </r>
  <r>
    <x v="31"/>
    <x v="1"/>
    <n v="1340"/>
    <n v="57"/>
    <n v="1283"/>
    <n v="155927"/>
    <n v="7.79"/>
    <n v="11972"/>
    <n v="-0.58227200394348388"/>
    <x v="0"/>
    <n v="6.5068493150684931E-4"/>
  </r>
  <r>
    <x v="31"/>
    <x v="2"/>
    <n v="953"/>
    <n v="228"/>
    <n v="725"/>
    <n v="258398"/>
    <n v="9.0500000000000007"/>
    <n v="13314"/>
    <n v="1.0961613342851579"/>
    <x v="0"/>
    <n v="6.7973561664413408E-4"/>
  </r>
  <r>
    <x v="32"/>
    <x v="0"/>
    <n v="532"/>
    <n v="65"/>
    <n v="467"/>
    <n v="338561"/>
    <n v="3.5"/>
    <n v="14749"/>
    <n v="1.4310384444157225"/>
    <x v="3"/>
    <n v="2.3730422401518748E-4"/>
  </r>
  <r>
    <x v="32"/>
    <x v="1"/>
    <n v="1414"/>
    <n v="60"/>
    <n v="1354"/>
    <n v="341856"/>
    <n v="8.76"/>
    <n v="6868"/>
    <n v="1.1924105510912157"/>
    <x v="3"/>
    <n v="1.2754804892253931E-3"/>
  </r>
  <r>
    <x v="32"/>
    <x v="2"/>
    <n v="685"/>
    <n v="165"/>
    <n v="520"/>
    <n v="175860"/>
    <n v="6.26"/>
    <n v="6027"/>
    <n v="-0.31942197695028601"/>
    <x v="3"/>
    <n v="1.0386593661854985E-3"/>
  </r>
  <r>
    <x v="33"/>
    <x v="0"/>
    <n v="601"/>
    <n v="159"/>
    <n v="442"/>
    <n v="327722"/>
    <n v="3.33"/>
    <n v="25267"/>
    <n v="-3.2014910163899561E-2"/>
    <x v="3"/>
    <n v="1.3179245656389757E-4"/>
  </r>
  <r>
    <x v="33"/>
    <x v="1"/>
    <n v="841"/>
    <n v="295"/>
    <n v="546"/>
    <n v="271638"/>
    <n v="9.15"/>
    <n v="5900"/>
    <n v="-0.20540227464195451"/>
    <x v="3"/>
    <n v="1.5508474576271187E-3"/>
  </r>
  <r>
    <x v="33"/>
    <x v="2"/>
    <n v="1105"/>
    <n v="261"/>
    <n v="844"/>
    <n v="333851"/>
    <n v="6.03"/>
    <n v="11181"/>
    <n v="0.89839076538155349"/>
    <x v="3"/>
    <n v="5.3930775422591896E-4"/>
  </r>
  <r>
    <x v="34"/>
    <x v="0"/>
    <n v="566"/>
    <n v="225"/>
    <n v="341"/>
    <n v="368984"/>
    <n v="9.82"/>
    <n v="9592"/>
    <n v="0.12590549307034621"/>
    <x v="3"/>
    <n v="1.0237698081734779E-3"/>
  </r>
  <r>
    <x v="34"/>
    <x v="1"/>
    <n v="1149"/>
    <n v="280"/>
    <n v="869"/>
    <n v="167310"/>
    <n v="3.7"/>
    <n v="5291"/>
    <n v="-0.38406997548207539"/>
    <x v="3"/>
    <n v="6.993006993006993E-4"/>
  </r>
  <r>
    <x v="34"/>
    <x v="2"/>
    <n v="819"/>
    <n v="101"/>
    <n v="718"/>
    <n v="194811"/>
    <n v="3.35"/>
    <n v="22244"/>
    <n v="-0.41647321709385327"/>
    <x v="3"/>
    <n v="1.5060240963855423E-4"/>
  </r>
  <r>
    <x v="35"/>
    <x v="0"/>
    <n v="795"/>
    <n v="60"/>
    <n v="735"/>
    <n v="314982"/>
    <n v="7.31"/>
    <n v="6824"/>
    <n v="-0.14635322940832124"/>
    <x v="3"/>
    <n v="1.0712192262602579E-3"/>
  </r>
  <r>
    <x v="35"/>
    <x v="1"/>
    <n v="681"/>
    <n v="158"/>
    <n v="523"/>
    <n v="75960"/>
    <n v="3.13"/>
    <n v="24112"/>
    <n v="-0.54599246906939214"/>
    <x v="3"/>
    <n v="1.2981088254810882E-4"/>
  </r>
  <r>
    <x v="35"/>
    <x v="2"/>
    <n v="534"/>
    <n v="112"/>
    <n v="422"/>
    <n v="360759"/>
    <n v="4.8899999999999997"/>
    <n v="25478"/>
    <n v="0.8518410151377489"/>
    <x v="3"/>
    <n v="1.9193029280163278E-4"/>
  </r>
  <r>
    <x v="36"/>
    <x v="0"/>
    <n v="1066"/>
    <n v="151"/>
    <n v="915"/>
    <n v="297090"/>
    <n v="8.6300000000000008"/>
    <n v="11235"/>
    <n v="-5.6803245899765702E-2"/>
    <x v="3"/>
    <n v="7.6813529149977753E-4"/>
  </r>
  <r>
    <x v="36"/>
    <x v="1"/>
    <n v="1270"/>
    <n v="162"/>
    <n v="1108"/>
    <n v="92040"/>
    <n v="8.0299999999999994"/>
    <n v="6120"/>
    <n v="0.21169036334913113"/>
    <x v="3"/>
    <n v="1.3120915032679738E-3"/>
  </r>
  <r>
    <x v="36"/>
    <x v="2"/>
    <n v="536"/>
    <n v="198"/>
    <n v="338"/>
    <n v="174610"/>
    <n v="7.85"/>
    <n v="20572"/>
    <n v="-0.51599267100751467"/>
    <x v="3"/>
    <n v="3.8158662259381684E-4"/>
  </r>
  <r>
    <x v="37"/>
    <x v="0"/>
    <n v="819"/>
    <n v="95"/>
    <n v="724"/>
    <n v="177376"/>
    <n v="6.12"/>
    <n v="14975"/>
    <n v="-0.40295533340065298"/>
    <x v="0"/>
    <n v="4.0868113522537564E-4"/>
  </r>
  <r>
    <x v="37"/>
    <x v="1"/>
    <n v="681"/>
    <n v="218"/>
    <n v="463"/>
    <n v="198882"/>
    <n v="7.16"/>
    <n v="22234"/>
    <n v="1.1608213820078226"/>
    <x v="0"/>
    <n v="3.2202932445803725E-4"/>
  </r>
  <r>
    <x v="37"/>
    <x v="2"/>
    <n v="646"/>
    <n v="290"/>
    <n v="356"/>
    <n v="336383"/>
    <n v="7.04"/>
    <n v="6532"/>
    <n v="0.92648187389038428"/>
    <x v="0"/>
    <n v="1.0777709736680956E-3"/>
  </r>
  <r>
    <x v="38"/>
    <x v="0"/>
    <n v="645"/>
    <n v="267"/>
    <n v="378"/>
    <n v="346890"/>
    <n v="3.71"/>
    <n v="24858"/>
    <n v="0.95567607793613563"/>
    <x v="0"/>
    <n v="1.4924772708987046E-4"/>
  </r>
  <r>
    <x v="38"/>
    <x v="1"/>
    <n v="886"/>
    <n v="250"/>
    <n v="636"/>
    <n v="168170"/>
    <n v="4.12"/>
    <n v="13883"/>
    <n v="-0.15442322583240314"/>
    <x v="0"/>
    <n v="2.9676582871137361E-4"/>
  </r>
  <r>
    <x v="38"/>
    <x v="2"/>
    <n v="978"/>
    <n v="279"/>
    <n v="699"/>
    <n v="368872"/>
    <n v="6.82"/>
    <n v="18654"/>
    <n v="9.6583358849882422E-2"/>
    <x v="0"/>
    <n v="3.6560523212179696E-4"/>
  </r>
  <r>
    <x v="39"/>
    <x v="0"/>
    <n v="1444"/>
    <n v="165"/>
    <n v="1279"/>
    <n v="116436"/>
    <n v="8.2200000000000006"/>
    <n v="25234"/>
    <n v="-0.66434316353887402"/>
    <x v="4"/>
    <n v="3.2575097091226126E-4"/>
  </r>
  <r>
    <x v="39"/>
    <x v="1"/>
    <n v="1234"/>
    <n v="228"/>
    <n v="1006"/>
    <n v="127502"/>
    <n v="7.71"/>
    <n v="6772"/>
    <n v="-0.24182672295891064"/>
    <x v="4"/>
    <n v="1.1385115180153574E-3"/>
  </r>
  <r>
    <x v="39"/>
    <x v="2"/>
    <n v="665"/>
    <n v="187"/>
    <n v="478"/>
    <n v="274567"/>
    <n v="7.39"/>
    <n v="22428"/>
    <n v="-0.25565778915179249"/>
    <x v="4"/>
    <n v="3.2949884073479576E-4"/>
  </r>
  <r>
    <x v="40"/>
    <x v="0"/>
    <n v="631"/>
    <n v="86"/>
    <n v="545"/>
    <n v="295090"/>
    <n v="7.89"/>
    <n v="11911"/>
    <n v="1.5343536363324057"/>
    <x v="4"/>
    <n v="6.624128956426832E-4"/>
  </r>
  <r>
    <x v="40"/>
    <x v="1"/>
    <n v="1159"/>
    <n v="154"/>
    <n v="1005"/>
    <n v="194994"/>
    <n v="6.39"/>
    <n v="21900"/>
    <n v="0.5293407162240592"/>
    <x v="4"/>
    <n v="2.9178082191780823E-4"/>
  </r>
  <r>
    <x v="40"/>
    <x v="2"/>
    <n v="950"/>
    <n v="185"/>
    <n v="765"/>
    <n v="340750"/>
    <n v="6.77"/>
    <n v="25542"/>
    <n v="0.24104499084012282"/>
    <x v="4"/>
    <n v="2.6505363714666037E-4"/>
  </r>
  <r>
    <x v="41"/>
    <x v="0"/>
    <n v="693"/>
    <n v="129"/>
    <n v="564"/>
    <n v="296031"/>
    <n v="3.41"/>
    <n v="7140"/>
    <n v="3.1888576366532243E-3"/>
    <x v="4"/>
    <n v="4.7759103641456584E-4"/>
  </r>
  <r>
    <x v="41"/>
    <x v="1"/>
    <n v="576"/>
    <n v="80"/>
    <n v="496"/>
    <n v="345688"/>
    <n v="4.1100000000000003"/>
    <n v="20474"/>
    <n v="0.77281352246735802"/>
    <x v="4"/>
    <n v="2.0074240500146529E-4"/>
  </r>
  <r>
    <x v="41"/>
    <x v="2"/>
    <n v="1274"/>
    <n v="146"/>
    <n v="1128"/>
    <n v="263488"/>
    <n v="9.58"/>
    <n v="8698"/>
    <n v="-0.22674101247248715"/>
    <x v="4"/>
    <n v="1.1014026212922512E-3"/>
  </r>
  <r>
    <x v="42"/>
    <x v="0"/>
    <n v="818"/>
    <n v="253"/>
    <n v="565"/>
    <n v="184911"/>
    <n v="3.39"/>
    <n v="10402"/>
    <n v="-0.37536609341589228"/>
    <x v="4"/>
    <n v="3.2589886560276869E-4"/>
  </r>
  <r>
    <x v="42"/>
    <x v="1"/>
    <n v="975"/>
    <n v="162"/>
    <n v="813"/>
    <n v="124497"/>
    <n v="9.58"/>
    <n v="26618"/>
    <n v="-0.63985732799518646"/>
    <x v="4"/>
    <n v="3.5990682996468558E-4"/>
  </r>
  <r>
    <x v="42"/>
    <x v="2"/>
    <n v="1398"/>
    <n v="97"/>
    <n v="1301"/>
    <n v="397607"/>
    <n v="5.09"/>
    <n v="7975"/>
    <n v="0.50901369322322076"/>
    <x v="4"/>
    <n v="6.3824451410658309E-4"/>
  </r>
  <r>
    <x v="43"/>
    <x v="0"/>
    <n v="591"/>
    <n v="155"/>
    <n v="436"/>
    <n v="138521"/>
    <n v="7.85"/>
    <n v="19054"/>
    <n v="-0.25087744915121329"/>
    <x v="4"/>
    <n v="4.119869843602393E-4"/>
  </r>
  <r>
    <x v="43"/>
    <x v="1"/>
    <n v="1232"/>
    <n v="254"/>
    <n v="978"/>
    <n v="107718"/>
    <n v="9.7100000000000009"/>
    <n v="13740"/>
    <n v="-0.13477433191161234"/>
    <x v="4"/>
    <n v="7.0669577874818055E-4"/>
  </r>
  <r>
    <x v="43"/>
    <x v="2"/>
    <n v="1425"/>
    <n v="58"/>
    <n v="1367"/>
    <n v="202234"/>
    <n v="6.67"/>
    <n v="18442"/>
    <n v="-0.49137213379040107"/>
    <x v="4"/>
    <n v="3.6167443878104327E-4"/>
  </r>
  <r>
    <x v="44"/>
    <x v="0"/>
    <n v="1417"/>
    <n v="80"/>
    <n v="1337"/>
    <n v="340987"/>
    <n v="6.13"/>
    <n v="10104"/>
    <n v="1.4616267569538193"/>
    <x v="0"/>
    <n v="6.0669041963578782E-4"/>
  </r>
  <r>
    <x v="44"/>
    <x v="1"/>
    <n v="1222"/>
    <n v="208"/>
    <n v="1014"/>
    <n v="340098"/>
    <n v="7.34"/>
    <n v="21771"/>
    <n v="2.1572996156631206"/>
    <x v="0"/>
    <n v="3.3714574433879932E-4"/>
  </r>
  <r>
    <x v="44"/>
    <x v="2"/>
    <n v="1071"/>
    <n v="131"/>
    <n v="940"/>
    <n v="254727"/>
    <n v="6.87"/>
    <n v="22191"/>
    <n v="0.25956565167083673"/>
    <x v="0"/>
    <n v="3.0958496687846424E-4"/>
  </r>
  <r>
    <x v="45"/>
    <x v="0"/>
    <n v="772"/>
    <n v="82"/>
    <n v="690"/>
    <n v="345659"/>
    <n v="3.52"/>
    <n v="27753"/>
    <n v="1.3701402106238655E-2"/>
    <x v="0"/>
    <n v="1.2683313515655966E-4"/>
  </r>
  <r>
    <x v="45"/>
    <x v="1"/>
    <n v="1472"/>
    <n v="137"/>
    <n v="1335"/>
    <n v="213950"/>
    <n v="6.96"/>
    <n v="23736"/>
    <n v="-0.37091661815123877"/>
    <x v="0"/>
    <n v="2.9322548028311426E-4"/>
  </r>
  <r>
    <x v="45"/>
    <x v="2"/>
    <n v="1472"/>
    <n v="281"/>
    <n v="1191"/>
    <n v="258115"/>
    <n v="7.23"/>
    <n v="27393"/>
    <n v="1.3300513883490954E-2"/>
    <x v="0"/>
    <n v="2.6393604205453947E-4"/>
  </r>
  <r>
    <x v="46"/>
    <x v="0"/>
    <n v="585"/>
    <n v="232"/>
    <n v="353"/>
    <n v="321258"/>
    <n v="7.42"/>
    <n v="10343"/>
    <n v="-7.059269395560365E-2"/>
    <x v="0"/>
    <n v="7.1739340616842309E-4"/>
  </r>
  <r>
    <x v="46"/>
    <x v="1"/>
    <n v="747"/>
    <n v="261"/>
    <n v="486"/>
    <n v="338650"/>
    <n v="7.73"/>
    <n v="25259"/>
    <n v="0.58284645945314328"/>
    <x v="0"/>
    <n v="3.0602953402747538E-4"/>
  </r>
  <r>
    <x v="46"/>
    <x v="2"/>
    <n v="1113"/>
    <n v="224"/>
    <n v="889"/>
    <n v="272989"/>
    <n v="5.13"/>
    <n v="24827"/>
    <n v="5.7625477016058732E-2"/>
    <x v="0"/>
    <n v="2.066298787610263E-4"/>
  </r>
  <r>
    <x v="47"/>
    <x v="0"/>
    <n v="1100"/>
    <n v="117"/>
    <n v="983"/>
    <n v="260204"/>
    <n v="4.4000000000000004"/>
    <n v="11908"/>
    <n v="-0.19004662918900075"/>
    <x v="0"/>
    <n v="3.6949949613705073E-4"/>
  </r>
  <r>
    <x v="47"/>
    <x v="1"/>
    <n v="751"/>
    <n v="170"/>
    <n v="581"/>
    <n v="283278"/>
    <n v="3.49"/>
    <n v="11005"/>
    <n v="-0.16350804665583937"/>
    <x v="0"/>
    <n v="3.1712857791912766E-4"/>
  </r>
  <r>
    <x v="47"/>
    <x v="2"/>
    <n v="864"/>
    <n v="50"/>
    <n v="814"/>
    <n v="277445"/>
    <n v="3.57"/>
    <n v="26333"/>
    <n v="1.6323002025722649E-2"/>
    <x v="0"/>
    <n v="1.3557133634602969E-4"/>
  </r>
  <r>
    <x v="48"/>
    <x v="0"/>
    <n v="1146"/>
    <n v="227"/>
    <n v="919"/>
    <n v="353781"/>
    <n v="6.41"/>
    <n v="5495"/>
    <n v="0.35962936772686044"/>
    <x v="0"/>
    <n v="1.1665150136487717E-3"/>
  </r>
  <r>
    <x v="48"/>
    <x v="1"/>
    <n v="883"/>
    <n v="207"/>
    <n v="676"/>
    <n v="265019"/>
    <n v="6.04"/>
    <n v="15655"/>
    <n v="-6.4456117312322175E-2"/>
    <x v="0"/>
    <n v="3.8581922708399871E-4"/>
  </r>
  <r>
    <x v="48"/>
    <x v="2"/>
    <n v="622"/>
    <n v="163"/>
    <n v="459"/>
    <n v="231925"/>
    <n v="9.18"/>
    <n v="13763"/>
    <n v="-0.16406855412784516"/>
    <x v="0"/>
    <n v="6.6700574002761029E-4"/>
  </r>
  <r>
    <x v="49"/>
    <x v="0"/>
    <n v="837"/>
    <n v="261"/>
    <n v="576"/>
    <n v="366149"/>
    <n v="6.54"/>
    <n v="26073"/>
    <n v="3.4959480582620321E-2"/>
    <x v="0"/>
    <n v="2.5083419629501786E-4"/>
  </r>
  <r>
    <x v="49"/>
    <x v="1"/>
    <n v="544"/>
    <n v="97"/>
    <n v="447"/>
    <n v="168375"/>
    <n v="8.66"/>
    <n v="12774"/>
    <n v="-0.3646681936012135"/>
    <x v="0"/>
    <n v="6.7793956474087994E-4"/>
  </r>
  <r>
    <x v="49"/>
    <x v="2"/>
    <n v="624"/>
    <n v="247"/>
    <n v="377"/>
    <n v="252763"/>
    <n v="3.89"/>
    <n v="19000"/>
    <n v="8.9848011210520648E-2"/>
    <x v="0"/>
    <n v="2.0473684210526317E-4"/>
  </r>
  <r>
    <x v="50"/>
    <x v="0"/>
    <n v="1073"/>
    <n v="141"/>
    <n v="932"/>
    <n v="118393"/>
    <n v="7.95"/>
    <n v="14051"/>
    <n v="-0.67665349352312854"/>
    <x v="0"/>
    <n v="5.6579602875240196E-4"/>
  </r>
  <r>
    <x v="50"/>
    <x v="1"/>
    <n v="1430"/>
    <n v="74"/>
    <n v="1356"/>
    <n v="327012"/>
    <n v="6.66"/>
    <n v="27782"/>
    <n v="0.94216481069042313"/>
    <x v="0"/>
    <n v="2.3972356201857318E-4"/>
  </r>
  <r>
    <x v="50"/>
    <x v="2"/>
    <n v="1358"/>
    <n v="77"/>
    <n v="1281"/>
    <n v="169688"/>
    <n v="5.25"/>
    <n v="7859"/>
    <n v="-0.32866756605990594"/>
    <x v="0"/>
    <n v="6.6802392161852651E-4"/>
  </r>
  <r>
    <x v="51"/>
    <x v="0"/>
    <n v="1242"/>
    <n v="201"/>
    <n v="1041"/>
    <n v="271935"/>
    <n v="5.07"/>
    <n v="15773"/>
    <n v="1.2968841063238536"/>
    <x v="0"/>
    <n v="3.2143536423001335E-4"/>
  </r>
  <r>
    <x v="51"/>
    <x v="1"/>
    <n v="1389"/>
    <n v="205"/>
    <n v="1184"/>
    <n v="315981"/>
    <n v="7.62"/>
    <n v="20595"/>
    <n v="-3.3732707056621777E-2"/>
    <x v="0"/>
    <n v="3.6999271667880553E-4"/>
  </r>
  <r>
    <x v="51"/>
    <x v="2"/>
    <n v="826"/>
    <n v="142"/>
    <n v="684"/>
    <n v="341016"/>
    <n v="7.44"/>
    <n v="12031"/>
    <n v="1.0096647965678185"/>
    <x v="0"/>
    <n v="6.1840246031086364E-4"/>
  </r>
  <r>
    <x v="52"/>
    <x v="0"/>
    <n v="618"/>
    <n v="264"/>
    <n v="354"/>
    <n v="285164"/>
    <n v="4.8600000000000003"/>
    <n v="15128"/>
    <n v="4.8647654770441466E-2"/>
    <x v="0"/>
    <n v="3.212585933368588E-4"/>
  </r>
  <r>
    <x v="52"/>
    <x v="1"/>
    <n v="1419"/>
    <n v="293"/>
    <n v="1126"/>
    <n v="116632"/>
    <n v="6.93"/>
    <n v="11826"/>
    <n v="-0.63088919903411911"/>
    <x v="0"/>
    <n v="5.859969558599695E-4"/>
  </r>
  <r>
    <x v="52"/>
    <x v="2"/>
    <n v="637"/>
    <n v="68"/>
    <n v="569"/>
    <n v="115694"/>
    <n v="9.99"/>
    <n v="12562"/>
    <n v="-0.66073732610786595"/>
    <x v="0"/>
    <n v="7.952555325585098E-4"/>
  </r>
  <r>
    <x v="53"/>
    <x v="0"/>
    <n v="917"/>
    <n v="187"/>
    <n v="730"/>
    <n v="64444"/>
    <n v="5.22"/>
    <n v="13013"/>
    <n v="-0.77401074469428122"/>
    <x v="0"/>
    <n v="4.0113732421424728E-4"/>
  </r>
  <r>
    <x v="53"/>
    <x v="1"/>
    <n v="810"/>
    <n v="232"/>
    <n v="578"/>
    <n v="362559"/>
    <n v="5.17"/>
    <n v="12937"/>
    <n v="2.1085722614719802"/>
    <x v="0"/>
    <n v="3.9962897116796784E-4"/>
  </r>
  <r>
    <x v="53"/>
    <x v="2"/>
    <n v="1183"/>
    <n v="248"/>
    <n v="935"/>
    <n v="226881"/>
    <n v="5.17"/>
    <n v="14534"/>
    <n v="0.96104378792331491"/>
    <x v="0"/>
    <n v="3.5571762763176001E-4"/>
  </r>
  <r>
    <x v="54"/>
    <x v="0"/>
    <n v="765"/>
    <n v="67"/>
    <n v="698"/>
    <n v="283537"/>
    <n v="6.18"/>
    <n v="8182"/>
    <n v="3.3997424120166344"/>
    <x v="0"/>
    <n v="7.5531654852114389E-4"/>
  </r>
  <r>
    <x v="54"/>
    <x v="1"/>
    <n v="540"/>
    <n v="215"/>
    <n v="325"/>
    <n v="62837"/>
    <n v="5.3"/>
    <n v="10615"/>
    <n v="-0.82668476027350035"/>
    <x v="0"/>
    <n v="4.9929345266132828E-4"/>
  </r>
  <r>
    <x v="54"/>
    <x v="2"/>
    <n v="1145"/>
    <n v="151"/>
    <n v="994"/>
    <n v="182759"/>
    <n v="5.99"/>
    <n v="20109"/>
    <n v="-0.19447199192528242"/>
    <x v="0"/>
    <n v="2.9787657267889999E-4"/>
  </r>
  <r>
    <x v="55"/>
    <x v="0"/>
    <n v="564"/>
    <n v="244"/>
    <n v="320"/>
    <n v="279405"/>
    <n v="8.43"/>
    <n v="26024"/>
    <n v="-1.4573053957684535E-2"/>
    <x v="0"/>
    <n v="3.2393175530279742E-4"/>
  </r>
  <r>
    <x v="55"/>
    <x v="1"/>
    <n v="668"/>
    <n v="124"/>
    <n v="544"/>
    <n v="257485"/>
    <n v="7.55"/>
    <n v="26730"/>
    <n v="3.0976653882266816"/>
    <x v="0"/>
    <n v="2.824541713430602E-4"/>
  </r>
  <r>
    <x v="55"/>
    <x v="2"/>
    <n v="761"/>
    <n v="241"/>
    <n v="520"/>
    <n v="154977"/>
    <n v="5.63"/>
    <n v="10563"/>
    <n v="-0.15201440147954409"/>
    <x v="0"/>
    <n v="5.3299252106409165E-4"/>
  </r>
  <r>
    <x v="56"/>
    <x v="0"/>
    <n v="593"/>
    <n v="108"/>
    <n v="485"/>
    <n v="216500"/>
    <n v="4.71"/>
    <n v="27575"/>
    <n v="-0.22513913494747767"/>
    <x v="0"/>
    <n v="1.7080689029918403E-4"/>
  </r>
  <r>
    <x v="56"/>
    <x v="1"/>
    <n v="1349"/>
    <n v="115"/>
    <n v="1234"/>
    <n v="102102"/>
    <n v="5.28"/>
    <n v="14479"/>
    <n v="-0.60346427947259063"/>
    <x v="0"/>
    <n v="3.6466606809862562E-4"/>
  </r>
  <r>
    <x v="56"/>
    <x v="2"/>
    <n v="693"/>
    <n v="97"/>
    <n v="596"/>
    <n v="92025"/>
    <n v="5.95"/>
    <n v="15915"/>
    <n v="-0.40620221065061268"/>
    <x v="0"/>
    <n v="3.7386113729186301E-4"/>
  </r>
  <r>
    <x v="57"/>
    <x v="0"/>
    <n v="974"/>
    <n v="143"/>
    <n v="831"/>
    <n v="247965"/>
    <n v="9.98"/>
    <n v="12767"/>
    <n v="0.14533487297921477"/>
    <x v="0"/>
    <n v="7.817028276024125E-4"/>
  </r>
  <r>
    <x v="57"/>
    <x v="1"/>
    <n v="1155"/>
    <n v="122"/>
    <n v="1033"/>
    <n v="387352"/>
    <n v="9.93"/>
    <n v="12170"/>
    <n v="2.7937748525983821"/>
    <x v="0"/>
    <n v="8.1594083812654063E-4"/>
  </r>
  <r>
    <x v="57"/>
    <x v="2"/>
    <n v="1051"/>
    <n v="246"/>
    <n v="805"/>
    <n v="253985"/>
    <n v="9.08"/>
    <n v="7245"/>
    <n v="1.7599565335506655"/>
    <x v="0"/>
    <n v="1.2532781228433403E-3"/>
  </r>
  <r>
    <x v="58"/>
    <x v="0"/>
    <n v="1457"/>
    <n v="183"/>
    <n v="1274"/>
    <n v="129640"/>
    <n v="7.98"/>
    <n v="12985"/>
    <n v="-0.47718428003952168"/>
    <x v="0"/>
    <n v="6.145552560646901E-4"/>
  </r>
  <r>
    <x v="58"/>
    <x v="1"/>
    <n v="670"/>
    <n v="242"/>
    <n v="428"/>
    <n v="281913"/>
    <n v="9.6199999999999992"/>
    <n v="16377"/>
    <n v="-0.27220460976063116"/>
    <x v="0"/>
    <n v="5.8740917139891307E-4"/>
  </r>
  <r>
    <x v="58"/>
    <x v="2"/>
    <n v="1111"/>
    <n v="159"/>
    <n v="952"/>
    <n v="360770"/>
    <n v="8.7100000000000009"/>
    <n v="11453"/>
    <n v="0.42043821485520799"/>
    <x v="0"/>
    <n v="7.6049943246311023E-4"/>
  </r>
  <r>
    <x v="59"/>
    <x v="0"/>
    <n v="1197"/>
    <n v="246"/>
    <n v="951"/>
    <n v="127273"/>
    <n v="6.69"/>
    <n v="12323"/>
    <n v="-1.8258253625424253E-2"/>
    <x v="0"/>
    <n v="5.4288728394059893E-4"/>
  </r>
  <r>
    <x v="59"/>
    <x v="1"/>
    <n v="754"/>
    <n v="150"/>
    <n v="604"/>
    <n v="189622"/>
    <n v="4.25"/>
    <n v="11911"/>
    <n v="-0.32737404802190745"/>
    <x v="0"/>
    <n v="3.5681302997229454E-4"/>
  </r>
  <r>
    <x v="59"/>
    <x v="2"/>
    <n v="1246"/>
    <n v="107"/>
    <n v="1139"/>
    <n v="350949"/>
    <n v="4.9800000000000004"/>
    <n v="27809"/>
    <n v="-2.7222330016353911E-2"/>
    <x v="0"/>
    <n v="1.7907871552375133E-4"/>
  </r>
  <r>
    <x v="60"/>
    <x v="0"/>
    <n v="780"/>
    <n v="213"/>
    <n v="567"/>
    <n v="121431"/>
    <n v="4.97"/>
    <n v="21464"/>
    <n v="-4.5901330211435262E-2"/>
    <x v="0"/>
    <n v="2.315505031680954E-4"/>
  </r>
  <r>
    <x v="60"/>
    <x v="1"/>
    <n v="1425"/>
    <n v="143"/>
    <n v="1282"/>
    <n v="116742"/>
    <n v="3.71"/>
    <n v="27126"/>
    <n v="-0.38434358882408159"/>
    <x v="0"/>
    <n v="1.3676915136769151E-4"/>
  </r>
  <r>
    <x v="60"/>
    <x v="2"/>
    <n v="1490"/>
    <n v="103"/>
    <n v="1387"/>
    <n v="81184"/>
    <n v="7.79"/>
    <n v="10681"/>
    <n v="-0.76867294108260742"/>
    <x v="0"/>
    <n v="7.293324595075368E-4"/>
  </r>
  <r>
    <x v="61"/>
    <x v="0"/>
    <n v="949"/>
    <n v="282"/>
    <n v="667"/>
    <n v="87126"/>
    <n v="4.96"/>
    <n v="5413"/>
    <n v="-0.28250611458359071"/>
    <x v="0"/>
    <n v="9.163125808239424E-4"/>
  </r>
  <r>
    <x v="61"/>
    <x v="1"/>
    <n v="640"/>
    <n v="141"/>
    <n v="499"/>
    <n v="267546"/>
    <n v="8.58"/>
    <n v="25058"/>
    <n v="1.2917715989104179"/>
    <x v="0"/>
    <n v="3.4240561896400353E-4"/>
  </r>
  <r>
    <x v="61"/>
    <x v="2"/>
    <n v="616"/>
    <n v="93"/>
    <n v="523"/>
    <n v="133082"/>
    <n v="8.51"/>
    <n v="18303"/>
    <n v="0.63926389436342135"/>
    <x v="0"/>
    <n v="4.6495110091241874E-4"/>
  </r>
  <r>
    <x v="62"/>
    <x v="0"/>
    <n v="1080"/>
    <n v="184"/>
    <n v="896"/>
    <n v="340557"/>
    <n v="5.41"/>
    <n v="5526"/>
    <n v="2.9087872736037461"/>
    <x v="0"/>
    <n v="9.7900832428519718E-4"/>
  </r>
  <r>
    <x v="62"/>
    <x v="1"/>
    <n v="938"/>
    <n v="236"/>
    <n v="702"/>
    <n v="116472"/>
    <n v="8.7200000000000006"/>
    <n v="17460"/>
    <n v="-0.56466551546276156"/>
    <x v="0"/>
    <n v="4.9942726231386029E-4"/>
  </r>
  <r>
    <x v="62"/>
    <x v="2"/>
    <n v="1007"/>
    <n v="258"/>
    <n v="749"/>
    <n v="113412"/>
    <n v="7.71"/>
    <n v="14475"/>
    <n v="-0.14780360980448146"/>
    <x v="0"/>
    <n v="5.3264248704663214E-4"/>
  </r>
  <r>
    <x v="63"/>
    <x v="0"/>
    <n v="541"/>
    <n v="208"/>
    <n v="333"/>
    <n v="157547"/>
    <n v="8.35"/>
    <n v="20162"/>
    <n v="-0.53738434388369638"/>
    <x v="0"/>
    <n v="4.141454220811427E-4"/>
  </r>
  <r>
    <x v="63"/>
    <x v="1"/>
    <n v="745"/>
    <n v="98"/>
    <n v="647"/>
    <n v="354816"/>
    <n v="4.03"/>
    <n v="17103"/>
    <n v="2.046363074386977"/>
    <x v="0"/>
    <n v="2.3563117581710811E-4"/>
  </r>
  <r>
    <x v="63"/>
    <x v="2"/>
    <n v="936"/>
    <n v="97"/>
    <n v="839"/>
    <n v="151799"/>
    <n v="9.3699999999999992"/>
    <n v="15461"/>
    <n v="0.33847388283426799"/>
    <x v="0"/>
    <n v="6.0604100640320802E-4"/>
  </r>
  <r>
    <x v="64"/>
    <x v="0"/>
    <n v="1183"/>
    <n v="223"/>
    <n v="960"/>
    <n v="143811"/>
    <n v="6.07"/>
    <n v="22103"/>
    <n v="-8.7186680800015237E-2"/>
    <x v="0"/>
    <n v="2.7462335429579695E-4"/>
  </r>
  <r>
    <x v="64"/>
    <x v="1"/>
    <n v="1413"/>
    <n v="245"/>
    <n v="1168"/>
    <n v="296450"/>
    <n v="6.52"/>
    <n v="11625"/>
    <n v="-0.16449652777777779"/>
    <x v="0"/>
    <n v="5.6086021505376336E-4"/>
  </r>
  <r>
    <x v="64"/>
    <x v="2"/>
    <n v="791"/>
    <n v="273"/>
    <n v="518"/>
    <n v="144049"/>
    <n v="3.08"/>
    <n v="5281"/>
    <n v="-5.1054354771770567E-2"/>
    <x v="0"/>
    <n v="5.8322287445559549E-4"/>
  </r>
  <r>
    <x v="65"/>
    <x v="0"/>
    <n v="1052"/>
    <n v="180"/>
    <n v="872"/>
    <n v="272534"/>
    <n v="5.34"/>
    <n v="13424"/>
    <n v="0.89508452065558264"/>
    <x v="0"/>
    <n v="3.9779499404052441E-4"/>
  </r>
  <r>
    <x v="65"/>
    <x v="1"/>
    <n v="572"/>
    <n v="270"/>
    <n v="302"/>
    <n v="82265"/>
    <n v="3.65"/>
    <n v="13140"/>
    <n v="-0.72249957834373424"/>
    <x v="0"/>
    <n v="2.7777777777777778E-4"/>
  </r>
  <r>
    <x v="65"/>
    <x v="2"/>
    <n v="503"/>
    <n v="253"/>
    <n v="250"/>
    <n v="313562"/>
    <n v="4.18"/>
    <n v="19538"/>
    <n v="1.1767731813480136"/>
    <x v="0"/>
    <n v="2.1394206162350291E-4"/>
  </r>
  <r>
    <x v="66"/>
    <x v="0"/>
    <n v="1017"/>
    <n v="197"/>
    <n v="820"/>
    <n v="89918"/>
    <n v="3.91"/>
    <n v="7881"/>
    <n v="-0.6700668540438991"/>
    <x v="0"/>
    <n v="4.9612993274965106E-4"/>
  </r>
  <r>
    <x v="66"/>
    <x v="1"/>
    <n v="860"/>
    <n v="244"/>
    <n v="616"/>
    <n v="348686"/>
    <n v="5.12"/>
    <n v="11418"/>
    <n v="3.2385704734698839"/>
    <x v="0"/>
    <n v="4.4841478367489929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EE90F4-0C9E-4967-A415-DE05EDC9B0CF}"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0:I30" firstHeaderRow="0" firstDataRow="1" firstDataCol="1"/>
  <pivotFields count="18">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axis="axisRow" showAll="0">
      <items count="4">
        <item x="2"/>
        <item x="1"/>
        <item x="0"/>
        <item t="default"/>
      </items>
    </pivotField>
    <pivotField showAll="0"/>
    <pivotField dataField="1" numFmtId="2" showAll="0"/>
    <pivotField dataField="1" numFmtId="2" showAll="0"/>
    <pivotField dataField="1" numFmtId="2" showAll="0"/>
    <pivotField numFmtId="2" showAll="0"/>
    <pivotField numFmtId="2" showAll="0"/>
    <pivotField numFmtId="2"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2">
    <field x="1"/>
    <field x="3"/>
  </rowFields>
  <rowItems count="10">
    <i>
      <x/>
    </i>
    <i r="1">
      <x v="1"/>
    </i>
    <i r="1">
      <x v="2"/>
    </i>
    <i>
      <x v="1"/>
    </i>
    <i r="1">
      <x v="1"/>
    </i>
    <i r="1">
      <x v="2"/>
    </i>
    <i>
      <x v="2"/>
    </i>
    <i r="1">
      <x/>
    </i>
    <i r="1">
      <x v="2"/>
    </i>
    <i t="grand">
      <x/>
    </i>
  </rowItems>
  <colFields count="1">
    <field x="-2"/>
  </colFields>
  <colItems count="3">
    <i>
      <x/>
    </i>
    <i i="1">
      <x v="1"/>
    </i>
    <i i="2">
      <x v="2"/>
    </i>
  </colItems>
  <dataFields count="3">
    <dataField name="Sum of Likess" fld="5" baseField="0" baseItem="0"/>
    <dataField name="Sum of Sharess" fld="6" baseField="0" baseItem="0"/>
    <dataField name="Sum of Commentss" fld="7" baseField="0" baseItem="0"/>
  </dataFields>
  <formats count="9">
    <format dxfId="180">
      <pivotArea type="all" dataOnly="0" outline="0" fieldPosition="0"/>
    </format>
    <format dxfId="179">
      <pivotArea outline="0" collapsedLevelsAreSubtotals="1" fieldPosition="0"/>
    </format>
    <format dxfId="178">
      <pivotArea field="1" type="button" dataOnly="0" labelOnly="1" outline="0" axis="axisRow" fieldPosition="0"/>
    </format>
    <format dxfId="177">
      <pivotArea dataOnly="0" labelOnly="1" fieldPosition="0">
        <references count="1">
          <reference field="1" count="0"/>
        </references>
      </pivotArea>
    </format>
    <format dxfId="176">
      <pivotArea dataOnly="0" labelOnly="1" grandRow="1" outline="0" fieldPosition="0"/>
    </format>
    <format dxfId="175">
      <pivotArea dataOnly="0" labelOnly="1" fieldPosition="0">
        <references count="2">
          <reference field="1" count="1" selected="0">
            <x v="0"/>
          </reference>
          <reference field="3" count="2">
            <x v="1"/>
            <x v="2"/>
          </reference>
        </references>
      </pivotArea>
    </format>
    <format dxfId="174">
      <pivotArea dataOnly="0" labelOnly="1" fieldPosition="0">
        <references count="2">
          <reference field="1" count="1" selected="0">
            <x v="1"/>
          </reference>
          <reference field="3" count="2">
            <x v="1"/>
            <x v="2"/>
          </reference>
        </references>
      </pivotArea>
    </format>
    <format dxfId="173">
      <pivotArea dataOnly="0" labelOnly="1" fieldPosition="0">
        <references count="2">
          <reference field="1" count="1" selected="0">
            <x v="2"/>
          </reference>
          <reference field="3" count="2">
            <x v="0"/>
            <x v="2"/>
          </reference>
        </references>
      </pivotArea>
    </format>
    <format dxfId="17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B920F-0395-4FA8-9E6D-D2DE075C0C4E}"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7:O18" firstHeaderRow="1" firstDataRow="1" firstDataCol="1"/>
  <pivotFields count="18">
    <pivotField axis="axisRow" showAll="0" measureFilter="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numFmtId="22" showAll="0">
      <items count="15">
        <item x="0"/>
        <item x="1"/>
        <item x="2"/>
        <item x="3"/>
        <item x="4"/>
        <item x="5"/>
        <item x="6"/>
        <item x="7"/>
        <item x="8"/>
        <item x="9"/>
        <item x="10"/>
        <item x="11"/>
        <item x="12"/>
        <item x="13"/>
        <item t="default"/>
      </items>
    </pivotField>
    <pivotField showAll="0"/>
    <pivotField showAll="0"/>
    <pivotField numFmtId="2" showAll="0"/>
    <pivotField numFmtId="2" showAll="0"/>
    <pivotField numFmtId="2" showAll="0"/>
    <pivotField numFmtId="2" showAll="0"/>
    <pivotField numFmtId="2" showAll="0"/>
    <pivotField numFmtId="2"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0"/>
  </rowFields>
  <rowItems count="11">
    <i>
      <x v="6"/>
    </i>
    <i>
      <x v="21"/>
    </i>
    <i>
      <x v="49"/>
    </i>
    <i>
      <x v="67"/>
    </i>
    <i>
      <x v="105"/>
    </i>
    <i>
      <x v="135"/>
    </i>
    <i>
      <x v="156"/>
    </i>
    <i>
      <x v="185"/>
    </i>
    <i>
      <x v="247"/>
    </i>
    <i>
      <x v="278"/>
    </i>
    <i t="grand">
      <x/>
    </i>
  </rowItems>
  <colItems count="1">
    <i/>
  </colItems>
  <dataFields count="1">
    <dataField name="Sum of Engagement Rate:" fld="14" baseField="0" baseItem="0"/>
  </dataFields>
  <formats count="12">
    <format dxfId="192">
      <pivotArea type="all" dataOnly="0" outline="0" fieldPosition="0"/>
    </format>
    <format dxfId="191">
      <pivotArea outline="0" collapsedLevelsAreSubtotals="1" fieldPosition="0"/>
    </format>
    <format dxfId="190">
      <pivotArea field="0" type="button" dataOnly="0" labelOnly="1" outline="0" axis="axisRow" fieldPosition="0"/>
    </format>
    <format dxfId="189">
      <pivotArea dataOnly="0" labelOnly="1" fieldPosition="0">
        <references count="1">
          <reference field="0" count="10">
            <x v="6"/>
            <x v="21"/>
            <x v="49"/>
            <x v="67"/>
            <x v="105"/>
            <x v="135"/>
            <x v="156"/>
            <x v="185"/>
            <x v="247"/>
            <x v="278"/>
          </reference>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dataOnly="0" labelOnly="1" fieldPosition="0">
        <references count="1">
          <reference field="0" count="10">
            <x v="6"/>
            <x v="21"/>
            <x v="49"/>
            <x v="67"/>
            <x v="105"/>
            <x v="135"/>
            <x v="156"/>
            <x v="185"/>
            <x v="247"/>
            <x v="278"/>
          </reference>
        </references>
      </pivotArea>
    </format>
    <format dxfId="182">
      <pivotArea dataOnly="0" labelOnly="1" grandRow="1" outline="0" fieldPosition="0"/>
    </format>
    <format dxfId="181">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624807-C17A-4DB3-AC56-A9A713D9409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0:J14" firstHeaderRow="0" firstDataRow="1" firstDataCol="1"/>
  <pivotFields count="20">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dataField="1" numFmtId="10" showAll="0"/>
    <pivotField numFmtId="164" showAll="0"/>
    <pivotField numFmtId="164"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Fields count="1">
    <field x="-2"/>
  </colFields>
  <colItems count="5">
    <i>
      <x/>
    </i>
    <i i="1">
      <x v="1"/>
    </i>
    <i i="2">
      <x v="2"/>
    </i>
    <i i="3">
      <x v="3"/>
    </i>
    <i i="4">
      <x v="4"/>
    </i>
  </colItems>
  <dataFields count="5">
    <dataField name="Sum of Likes" fld="5" baseField="0" baseItem="0"/>
    <dataField name="Sum of Shares" fld="6" baseField="0" baseItem="0"/>
    <dataField name="Sum of Comments" fld="7" baseField="0" baseItem="0"/>
    <dataField name="Sum of Impressions" fld="8" baseField="0" baseItem="0"/>
    <dataField name="Sum of ENGAGEMENT RATE" fld="14" showDataAs="percentOfTotal" baseField="1" baseItem="0" numFmtId="10"/>
  </dataFields>
  <formats count="7">
    <format dxfId="199">
      <pivotArea type="all" dataOnly="0" outline="0" fieldPosition="0"/>
    </format>
    <format dxfId="198">
      <pivotArea outline="0" collapsedLevelsAreSubtotals="1" fieldPosition="0"/>
    </format>
    <format dxfId="197">
      <pivotArea field="1" type="button" dataOnly="0" labelOnly="1" outline="0" axis="axisRow" fieldPosition="0"/>
    </format>
    <format dxfId="196">
      <pivotArea dataOnly="0" labelOnly="1" fieldPosition="0">
        <references count="1">
          <reference field="1" count="0"/>
        </references>
      </pivotArea>
    </format>
    <format dxfId="195">
      <pivotArea dataOnly="0" labelOnly="1" grandRow="1" outline="0" fieldPosition="0"/>
    </format>
    <format dxfId="194">
      <pivotArea dataOnly="0" labelOnly="1" outline="0" fieldPosition="0">
        <references count="1">
          <reference field="4294967294" count="5">
            <x v="0"/>
            <x v="1"/>
            <x v="2"/>
            <x v="3"/>
            <x v="4"/>
          </reference>
        </references>
      </pivotArea>
    </format>
    <format dxfId="193">
      <pivotArea collapsedLevelsAreSubtotals="1" fieldPosition="0">
        <references count="2">
          <reference field="4294967294" count="1" selected="0">
            <x v="4"/>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37E0D-72A2-441E-815F-6C08E092F419}" name="PivotTable1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D21:F25" firstHeaderRow="0"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Row" showAll="0">
      <items count="4">
        <item x="0"/>
        <item x="1"/>
        <item x="2"/>
        <item t="default"/>
      </items>
    </pivotField>
    <pivotField numFmtId="2" showAll="0"/>
    <pivotField numFmtId="2" showAll="0"/>
    <pivotField numFmtId="2" showAll="0"/>
    <pivotField numFmtId="2" showAll="0"/>
    <pivotField dataField="1" numFmtId="2" showAll="0"/>
    <pivotField dataField="1" numFmtId="2" showAll="0"/>
    <pivotField numFmtId="10" showAll="0"/>
    <pivotField showAll="0"/>
    <pivotField numFmtId="169" showAll="0"/>
  </pivotFields>
  <rowFields count="1">
    <field x="1"/>
  </rowFields>
  <rowItems count="4">
    <i>
      <x/>
    </i>
    <i>
      <x v="1"/>
    </i>
    <i>
      <x v="2"/>
    </i>
    <i t="grand">
      <x/>
    </i>
  </rowItems>
  <colFields count="1">
    <field x="-2"/>
  </colFields>
  <colItems count="2">
    <i>
      <x/>
    </i>
    <i i="1">
      <x v="1"/>
    </i>
  </colItems>
  <dataFields count="2">
    <dataField name="Sum of Ad_Spend" fld="7" baseField="0" baseItem="0"/>
    <dataField name="Sum of Engagement_Rate" fld="6" baseField="0" baseItem="0"/>
  </dataFields>
  <formats count="5">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0"/>
        </references>
      </pivotArea>
    </format>
    <format dxfId="73">
      <pivotArea dataOnly="0" labelOnly="1" grandRow="1" outline="0" fieldPosition="0"/>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4497C4-5DEC-457D-B359-D9D7BBD79297}" name="PivotTable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52:G56" firstHeaderRow="1"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Row" showAll="0">
      <items count="4">
        <item x="0"/>
        <item x="1"/>
        <item x="2"/>
        <item t="default"/>
      </items>
    </pivotField>
    <pivotField numFmtId="2" showAll="0"/>
    <pivotField numFmtId="2" showAll="0"/>
    <pivotField numFmtId="2" showAll="0"/>
    <pivotField dataField="1" numFmtId="2" showAll="0"/>
    <pivotField numFmtId="2" showAll="0"/>
    <pivotField numFmtId="2" showAll="0"/>
    <pivotField numFmtId="10" showAll="0"/>
    <pivotField showAll="0"/>
    <pivotField numFmtId="169" showAll="0"/>
  </pivotFields>
  <rowFields count="1">
    <field x="1"/>
  </rowFields>
  <rowItems count="4">
    <i>
      <x/>
    </i>
    <i>
      <x v="1"/>
    </i>
    <i>
      <x v="2"/>
    </i>
    <i t="grand">
      <x/>
    </i>
  </rowItems>
  <colItems count="1">
    <i/>
  </colItems>
  <dataFields count="1">
    <dataField name="Sum of Total_Followers" fld="5" baseField="0" baseItem="0"/>
  </dataFields>
  <formats count="6">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filters count="1">
    <filter fld="0" type="dateBetween" evalOrder="-1" id="118" name="Week_Start_Date">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818AF-2037-43A9-BFA6-79F51ABA98EB}"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2:F16" firstHeaderRow="1" firstDataRow="1" firstDataCol="1"/>
  <pivotFields count="18">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showAll="0"/>
    <pivotField numFmtId="2" showAll="0"/>
    <pivotField numFmtId="2" showAll="0"/>
    <pivotField numFmtId="2" showAll="0"/>
    <pivotField numFmtId="2" showAll="0"/>
    <pivotField numFmtId="2" showAll="0"/>
    <pivotField numFmtId="2"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Engagement Rate:" fld="14" showDataAs="percentOfTotal" baseField="1" baseItem="0" numFmtId="10"/>
  </dataFields>
  <formats count="7">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AADC68-4BE7-480C-8BC0-CA64DF879F7B}" name="PivotTable1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L12:N18" firstHeaderRow="0" firstDataRow="1" firstDataCol="1" rowPageCount="1" colPageCount="1"/>
  <pivotFields count="11">
    <pivotField axis="axisRow"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Page" showAll="0">
      <items count="4">
        <item x="0"/>
        <item x="1"/>
        <item x="2"/>
        <item t="default"/>
      </items>
    </pivotField>
    <pivotField numFmtId="2" showAll="0"/>
    <pivotField numFmtId="2" showAll="0"/>
    <pivotField numFmtId="2" showAll="0"/>
    <pivotField dataField="1" numFmtId="2" showAll="0"/>
    <pivotField numFmtId="2" showAll="0"/>
    <pivotField numFmtId="2" showAll="0"/>
    <pivotField dataField="1" numFmtId="10" showAll="0"/>
    <pivotField showAll="0"/>
    <pivotField numFmtId="169" showAll="0"/>
  </pivotFields>
  <rowFields count="1">
    <field x="0"/>
  </rowFields>
  <rowItems count="6">
    <i>
      <x v="40"/>
    </i>
    <i>
      <x v="41"/>
    </i>
    <i>
      <x v="42"/>
    </i>
    <i>
      <x v="43"/>
    </i>
    <i>
      <x v="44"/>
    </i>
    <i t="grand">
      <x/>
    </i>
  </rowItems>
  <colFields count="1">
    <field x="-2"/>
  </colFields>
  <colItems count="2">
    <i>
      <x/>
    </i>
    <i i="1">
      <x v="1"/>
    </i>
  </colItems>
  <pageFields count="1">
    <pageField fld="1" item="2" hier="-1"/>
  </pageFields>
  <dataFields count="2">
    <dataField name="Sum of Total_Followers" fld="5" baseField="0" baseItem="0"/>
    <dataField name="Sum of Weekly groth rate" fld="8" showDataAs="percentOfTotal" baseField="0" baseItem="1" numFmtId="10"/>
  </dataFields>
  <formats count="77">
    <format dxfId="167">
      <pivotArea type="all" dataOnly="0" outline="0" fieldPosition="0"/>
    </format>
    <format dxfId="166">
      <pivotArea dataOnly="0" labelOnly="1" fieldPosition="0">
        <references count="2">
          <reference field="0" count="1" selected="0">
            <x v="1"/>
          </reference>
          <reference field="1" count="0"/>
        </references>
      </pivotArea>
    </format>
    <format dxfId="165">
      <pivotArea dataOnly="0" labelOnly="1" fieldPosition="0">
        <references count="2">
          <reference field="0" count="1" selected="0">
            <x v="2"/>
          </reference>
          <reference field="1" count="0"/>
        </references>
      </pivotArea>
    </format>
    <format dxfId="164">
      <pivotArea dataOnly="0" labelOnly="1" fieldPosition="0">
        <references count="2">
          <reference field="0" count="1" selected="0">
            <x v="3"/>
          </reference>
          <reference field="1" count="0"/>
        </references>
      </pivotArea>
    </format>
    <format dxfId="163">
      <pivotArea dataOnly="0" labelOnly="1" fieldPosition="0">
        <references count="2">
          <reference field="0" count="1" selected="0">
            <x v="4"/>
          </reference>
          <reference field="1" count="0"/>
        </references>
      </pivotArea>
    </format>
    <format dxfId="162">
      <pivotArea dataOnly="0" labelOnly="1" fieldPosition="0">
        <references count="2">
          <reference field="0" count="1" selected="0">
            <x v="5"/>
          </reference>
          <reference field="1" count="0"/>
        </references>
      </pivotArea>
    </format>
    <format dxfId="161">
      <pivotArea dataOnly="0" labelOnly="1" fieldPosition="0">
        <references count="2">
          <reference field="0" count="1" selected="0">
            <x v="6"/>
          </reference>
          <reference field="1" count="0"/>
        </references>
      </pivotArea>
    </format>
    <format dxfId="160">
      <pivotArea dataOnly="0" labelOnly="1" fieldPosition="0">
        <references count="2">
          <reference field="0" count="1" selected="0">
            <x v="7"/>
          </reference>
          <reference field="1" count="0"/>
        </references>
      </pivotArea>
    </format>
    <format dxfId="159">
      <pivotArea dataOnly="0" labelOnly="1" fieldPosition="0">
        <references count="2">
          <reference field="0" count="1" selected="0">
            <x v="8"/>
          </reference>
          <reference field="1" count="0"/>
        </references>
      </pivotArea>
    </format>
    <format dxfId="158">
      <pivotArea dataOnly="0" labelOnly="1" fieldPosition="0">
        <references count="2">
          <reference field="0" count="1" selected="0">
            <x v="9"/>
          </reference>
          <reference field="1" count="0"/>
        </references>
      </pivotArea>
    </format>
    <format dxfId="157">
      <pivotArea dataOnly="0" labelOnly="1" fieldPosition="0">
        <references count="2">
          <reference field="0" count="1" selected="0">
            <x v="10"/>
          </reference>
          <reference field="1" count="0"/>
        </references>
      </pivotArea>
    </format>
    <format dxfId="156">
      <pivotArea dataOnly="0" labelOnly="1" fieldPosition="0">
        <references count="2">
          <reference field="0" count="1" selected="0">
            <x v="11"/>
          </reference>
          <reference field="1" count="0"/>
        </references>
      </pivotArea>
    </format>
    <format dxfId="155">
      <pivotArea dataOnly="0" labelOnly="1" fieldPosition="0">
        <references count="2">
          <reference field="0" count="1" selected="0">
            <x v="12"/>
          </reference>
          <reference field="1" count="0"/>
        </references>
      </pivotArea>
    </format>
    <format dxfId="154">
      <pivotArea dataOnly="0" labelOnly="1" fieldPosition="0">
        <references count="2">
          <reference field="0" count="1" selected="0">
            <x v="13"/>
          </reference>
          <reference field="1" count="0"/>
        </references>
      </pivotArea>
    </format>
    <format dxfId="153">
      <pivotArea dataOnly="0" labelOnly="1" fieldPosition="0">
        <references count="2">
          <reference field="0" count="1" selected="0">
            <x v="14"/>
          </reference>
          <reference field="1" count="0"/>
        </references>
      </pivotArea>
    </format>
    <format dxfId="152">
      <pivotArea dataOnly="0" labelOnly="1" fieldPosition="0">
        <references count="2">
          <reference field="0" count="1" selected="0">
            <x v="15"/>
          </reference>
          <reference field="1" count="0"/>
        </references>
      </pivotArea>
    </format>
    <format dxfId="151">
      <pivotArea dataOnly="0" labelOnly="1" fieldPosition="0">
        <references count="2">
          <reference field="0" count="1" selected="0">
            <x v="16"/>
          </reference>
          <reference field="1" count="0"/>
        </references>
      </pivotArea>
    </format>
    <format dxfId="150">
      <pivotArea dataOnly="0" labelOnly="1" fieldPosition="0">
        <references count="2">
          <reference field="0" count="1" selected="0">
            <x v="17"/>
          </reference>
          <reference field="1" count="0"/>
        </references>
      </pivotArea>
    </format>
    <format dxfId="149">
      <pivotArea dataOnly="0" labelOnly="1" fieldPosition="0">
        <references count="2">
          <reference field="0" count="1" selected="0">
            <x v="18"/>
          </reference>
          <reference field="1" count="0"/>
        </references>
      </pivotArea>
    </format>
    <format dxfId="148">
      <pivotArea dataOnly="0" labelOnly="1" fieldPosition="0">
        <references count="2">
          <reference field="0" count="1" selected="0">
            <x v="19"/>
          </reference>
          <reference field="1" count="0"/>
        </references>
      </pivotArea>
    </format>
    <format dxfId="147">
      <pivotArea dataOnly="0" labelOnly="1" fieldPosition="0">
        <references count="2">
          <reference field="0" count="1" selected="0">
            <x v="20"/>
          </reference>
          <reference field="1" count="0"/>
        </references>
      </pivotArea>
    </format>
    <format dxfId="146">
      <pivotArea dataOnly="0" labelOnly="1" fieldPosition="0">
        <references count="2">
          <reference field="0" count="1" selected="0">
            <x v="21"/>
          </reference>
          <reference field="1" count="0"/>
        </references>
      </pivotArea>
    </format>
    <format dxfId="145">
      <pivotArea dataOnly="0" labelOnly="1" fieldPosition="0">
        <references count="2">
          <reference field="0" count="1" selected="0">
            <x v="22"/>
          </reference>
          <reference field="1" count="0"/>
        </references>
      </pivotArea>
    </format>
    <format dxfId="144">
      <pivotArea dataOnly="0" labelOnly="1" fieldPosition="0">
        <references count="2">
          <reference field="0" count="1" selected="0">
            <x v="23"/>
          </reference>
          <reference field="1" count="0"/>
        </references>
      </pivotArea>
    </format>
    <format dxfId="143">
      <pivotArea dataOnly="0" labelOnly="1" fieldPosition="0">
        <references count="2">
          <reference field="0" count="1" selected="0">
            <x v="24"/>
          </reference>
          <reference field="1" count="0"/>
        </references>
      </pivotArea>
    </format>
    <format dxfId="142">
      <pivotArea dataOnly="0" labelOnly="1" fieldPosition="0">
        <references count="2">
          <reference field="0" count="1" selected="0">
            <x v="25"/>
          </reference>
          <reference field="1" count="0"/>
        </references>
      </pivotArea>
    </format>
    <format dxfId="141">
      <pivotArea dataOnly="0" labelOnly="1" fieldPosition="0">
        <references count="2">
          <reference field="0" count="1" selected="0">
            <x v="26"/>
          </reference>
          <reference field="1" count="0"/>
        </references>
      </pivotArea>
    </format>
    <format dxfId="140">
      <pivotArea dataOnly="0" labelOnly="1" fieldPosition="0">
        <references count="2">
          <reference field="0" count="1" selected="0">
            <x v="27"/>
          </reference>
          <reference field="1" count="0"/>
        </references>
      </pivotArea>
    </format>
    <format dxfId="139">
      <pivotArea dataOnly="0" labelOnly="1" fieldPosition="0">
        <references count="2">
          <reference field="0" count="1" selected="0">
            <x v="28"/>
          </reference>
          <reference field="1" count="0"/>
        </references>
      </pivotArea>
    </format>
    <format dxfId="138">
      <pivotArea dataOnly="0" labelOnly="1" fieldPosition="0">
        <references count="2">
          <reference field="0" count="1" selected="0">
            <x v="29"/>
          </reference>
          <reference field="1" count="0"/>
        </references>
      </pivotArea>
    </format>
    <format dxfId="137">
      <pivotArea dataOnly="0" labelOnly="1" fieldPosition="0">
        <references count="2">
          <reference field="0" count="1" selected="0">
            <x v="30"/>
          </reference>
          <reference field="1" count="0"/>
        </references>
      </pivotArea>
    </format>
    <format dxfId="136">
      <pivotArea dataOnly="0" labelOnly="1" fieldPosition="0">
        <references count="2">
          <reference field="0" count="1" selected="0">
            <x v="31"/>
          </reference>
          <reference field="1" count="0"/>
        </references>
      </pivotArea>
    </format>
    <format dxfId="135">
      <pivotArea dataOnly="0" labelOnly="1" fieldPosition="0">
        <references count="2">
          <reference field="0" count="1" selected="0">
            <x v="32"/>
          </reference>
          <reference field="1" count="0"/>
        </references>
      </pivotArea>
    </format>
    <format dxfId="134">
      <pivotArea dataOnly="0" labelOnly="1" fieldPosition="0">
        <references count="2">
          <reference field="0" count="1" selected="0">
            <x v="33"/>
          </reference>
          <reference field="1" count="0"/>
        </references>
      </pivotArea>
    </format>
    <format dxfId="133">
      <pivotArea dataOnly="0" labelOnly="1" fieldPosition="0">
        <references count="2">
          <reference field="0" count="1" selected="0">
            <x v="34"/>
          </reference>
          <reference field="1" count="0"/>
        </references>
      </pivotArea>
    </format>
    <format dxfId="132">
      <pivotArea dataOnly="0" labelOnly="1" fieldPosition="0">
        <references count="2">
          <reference field="0" count="1" selected="0">
            <x v="35"/>
          </reference>
          <reference field="1" count="0"/>
        </references>
      </pivotArea>
    </format>
    <format dxfId="131">
      <pivotArea dataOnly="0" labelOnly="1" fieldPosition="0">
        <references count="2">
          <reference field="0" count="1" selected="0">
            <x v="36"/>
          </reference>
          <reference field="1" count="0"/>
        </references>
      </pivotArea>
    </format>
    <format dxfId="130">
      <pivotArea dataOnly="0" labelOnly="1" fieldPosition="0">
        <references count="2">
          <reference field="0" count="1" selected="0">
            <x v="37"/>
          </reference>
          <reference field="1" count="0"/>
        </references>
      </pivotArea>
    </format>
    <format dxfId="129">
      <pivotArea dataOnly="0" labelOnly="1" fieldPosition="0">
        <references count="2">
          <reference field="0" count="1" selected="0">
            <x v="38"/>
          </reference>
          <reference field="1" count="0"/>
        </references>
      </pivotArea>
    </format>
    <format dxfId="128">
      <pivotArea dataOnly="0" labelOnly="1" fieldPosition="0">
        <references count="2">
          <reference field="0" count="1" selected="0">
            <x v="39"/>
          </reference>
          <reference field="1" count="0"/>
        </references>
      </pivotArea>
    </format>
    <format dxfId="127">
      <pivotArea dataOnly="0" labelOnly="1" fieldPosition="0">
        <references count="2">
          <reference field="0" count="1" selected="0">
            <x v="40"/>
          </reference>
          <reference field="1" count="0"/>
        </references>
      </pivotArea>
    </format>
    <format dxfId="126">
      <pivotArea dataOnly="0" labelOnly="1" fieldPosition="0">
        <references count="2">
          <reference field="0" count="1" selected="0">
            <x v="41"/>
          </reference>
          <reference field="1" count="0"/>
        </references>
      </pivotArea>
    </format>
    <format dxfId="125">
      <pivotArea dataOnly="0" labelOnly="1" fieldPosition="0">
        <references count="2">
          <reference field="0" count="1" selected="0">
            <x v="42"/>
          </reference>
          <reference field="1" count="0"/>
        </references>
      </pivotArea>
    </format>
    <format dxfId="124">
      <pivotArea dataOnly="0" labelOnly="1" fieldPosition="0">
        <references count="2">
          <reference field="0" count="1" selected="0">
            <x v="43"/>
          </reference>
          <reference field="1" count="0"/>
        </references>
      </pivotArea>
    </format>
    <format dxfId="123">
      <pivotArea dataOnly="0" labelOnly="1" fieldPosition="0">
        <references count="2">
          <reference field="0" count="1" selected="0">
            <x v="44"/>
          </reference>
          <reference field="1" count="0"/>
        </references>
      </pivotArea>
    </format>
    <format dxfId="122">
      <pivotArea dataOnly="0" labelOnly="1" fieldPosition="0">
        <references count="2">
          <reference field="0" count="1" selected="0">
            <x v="45"/>
          </reference>
          <reference field="1" count="0"/>
        </references>
      </pivotArea>
    </format>
    <format dxfId="121">
      <pivotArea dataOnly="0" labelOnly="1" fieldPosition="0">
        <references count="2">
          <reference field="0" count="1" selected="0">
            <x v="46"/>
          </reference>
          <reference field="1" count="0"/>
        </references>
      </pivotArea>
    </format>
    <format dxfId="120">
      <pivotArea dataOnly="0" labelOnly="1" fieldPosition="0">
        <references count="2">
          <reference field="0" count="1" selected="0">
            <x v="47"/>
          </reference>
          <reference field="1" count="0"/>
        </references>
      </pivotArea>
    </format>
    <format dxfId="119">
      <pivotArea dataOnly="0" labelOnly="1" fieldPosition="0">
        <references count="2">
          <reference field="0" count="1" selected="0">
            <x v="48"/>
          </reference>
          <reference field="1" count="0"/>
        </references>
      </pivotArea>
    </format>
    <format dxfId="118">
      <pivotArea dataOnly="0" labelOnly="1" fieldPosition="0">
        <references count="2">
          <reference field="0" count="1" selected="0">
            <x v="49"/>
          </reference>
          <reference field="1" count="0"/>
        </references>
      </pivotArea>
    </format>
    <format dxfId="117">
      <pivotArea dataOnly="0" labelOnly="1" fieldPosition="0">
        <references count="2">
          <reference field="0" count="1" selected="0">
            <x v="50"/>
          </reference>
          <reference field="1" count="0"/>
        </references>
      </pivotArea>
    </format>
    <format dxfId="116">
      <pivotArea dataOnly="0" labelOnly="1" fieldPosition="0">
        <references count="2">
          <reference field="0" count="1" selected="0">
            <x v="51"/>
          </reference>
          <reference field="1" count="0"/>
        </references>
      </pivotArea>
    </format>
    <format dxfId="115">
      <pivotArea dataOnly="0" labelOnly="1" fieldPosition="0">
        <references count="2">
          <reference field="0" count="1" selected="0">
            <x v="52"/>
          </reference>
          <reference field="1" count="0"/>
        </references>
      </pivotArea>
    </format>
    <format dxfId="114">
      <pivotArea dataOnly="0" labelOnly="1" fieldPosition="0">
        <references count="2">
          <reference field="0" count="1" selected="0">
            <x v="53"/>
          </reference>
          <reference field="1" count="0"/>
        </references>
      </pivotArea>
    </format>
    <format dxfId="113">
      <pivotArea dataOnly="0" labelOnly="1" fieldPosition="0">
        <references count="2">
          <reference field="0" count="1" selected="0">
            <x v="54"/>
          </reference>
          <reference field="1" count="0"/>
        </references>
      </pivotArea>
    </format>
    <format dxfId="112">
      <pivotArea dataOnly="0" labelOnly="1" fieldPosition="0">
        <references count="2">
          <reference field="0" count="1" selected="0">
            <x v="55"/>
          </reference>
          <reference field="1" count="0"/>
        </references>
      </pivotArea>
    </format>
    <format dxfId="111">
      <pivotArea dataOnly="0" labelOnly="1" fieldPosition="0">
        <references count="2">
          <reference field="0" count="1" selected="0">
            <x v="56"/>
          </reference>
          <reference field="1" count="0"/>
        </references>
      </pivotArea>
    </format>
    <format dxfId="110">
      <pivotArea dataOnly="0" labelOnly="1" fieldPosition="0">
        <references count="2">
          <reference field="0" count="1" selected="0">
            <x v="57"/>
          </reference>
          <reference field="1" count="0"/>
        </references>
      </pivotArea>
    </format>
    <format dxfId="109">
      <pivotArea dataOnly="0" labelOnly="1" fieldPosition="0">
        <references count="2">
          <reference field="0" count="1" selected="0">
            <x v="58"/>
          </reference>
          <reference field="1" count="0"/>
        </references>
      </pivotArea>
    </format>
    <format dxfId="108">
      <pivotArea dataOnly="0" labelOnly="1" fieldPosition="0">
        <references count="2">
          <reference field="0" count="1" selected="0">
            <x v="59"/>
          </reference>
          <reference field="1" count="0"/>
        </references>
      </pivotArea>
    </format>
    <format dxfId="107">
      <pivotArea dataOnly="0" labelOnly="1" fieldPosition="0">
        <references count="2">
          <reference field="0" count="1" selected="0">
            <x v="60"/>
          </reference>
          <reference field="1" count="0"/>
        </references>
      </pivotArea>
    </format>
    <format dxfId="106">
      <pivotArea dataOnly="0" labelOnly="1" fieldPosition="0">
        <references count="2">
          <reference field="0" count="1" selected="0">
            <x v="61"/>
          </reference>
          <reference field="1" count="0"/>
        </references>
      </pivotArea>
    </format>
    <format dxfId="105">
      <pivotArea dataOnly="0" labelOnly="1" fieldPosition="0">
        <references count="2">
          <reference field="0" count="1" selected="0">
            <x v="62"/>
          </reference>
          <reference field="1" count="0"/>
        </references>
      </pivotArea>
    </format>
    <format dxfId="104">
      <pivotArea dataOnly="0" labelOnly="1" fieldPosition="0">
        <references count="2">
          <reference field="0" count="1" selected="0">
            <x v="63"/>
          </reference>
          <reference field="1" count="0"/>
        </references>
      </pivotArea>
    </format>
    <format dxfId="103">
      <pivotArea dataOnly="0" labelOnly="1" fieldPosition="0">
        <references count="2">
          <reference field="0" count="1" selected="0">
            <x v="64"/>
          </reference>
          <reference field="1" count="0"/>
        </references>
      </pivotArea>
    </format>
    <format dxfId="102">
      <pivotArea dataOnly="0" labelOnly="1" fieldPosition="0">
        <references count="2">
          <reference field="0" count="1" selected="0">
            <x v="65"/>
          </reference>
          <reference field="1" count="0"/>
        </references>
      </pivotArea>
    </format>
    <format dxfId="101">
      <pivotArea dataOnly="0" labelOnly="1" fieldPosition="0">
        <references count="2">
          <reference field="0" count="1" selected="0">
            <x v="66"/>
          </reference>
          <reference field="1" count="0"/>
        </references>
      </pivotArea>
    </format>
    <format dxfId="100">
      <pivotArea dataOnly="0" labelOnly="1" fieldPosition="0">
        <references count="2">
          <reference field="0" count="1" selected="0">
            <x v="67"/>
          </reference>
          <reference field="1" count="2">
            <x v="0"/>
            <x v="1"/>
          </reference>
        </references>
      </pivotArea>
    </format>
    <format dxfId="99">
      <pivotArea dataOnly="0" labelOnly="1" outline="0" axis="axisValues" fieldPosition="0"/>
    </format>
    <format dxfId="98">
      <pivotArea outline="0" fieldPosition="0">
        <references count="1">
          <reference field="4294967294" count="1">
            <x v="1"/>
          </reference>
        </references>
      </pivotArea>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93">
      <pivotArea dataOnly="0" labelOnly="1" fieldPosition="0">
        <references count="1">
          <reference field="0" count="16">
            <x v="51"/>
            <x v="52"/>
            <x v="53"/>
            <x v="54"/>
            <x v="55"/>
            <x v="56"/>
            <x v="57"/>
            <x v="58"/>
            <x v="59"/>
            <x v="60"/>
            <x v="61"/>
            <x v="62"/>
            <x v="63"/>
            <x v="64"/>
            <x v="65"/>
            <x v="66"/>
          </reference>
        </references>
      </pivotArea>
    </format>
    <format dxfId="92">
      <pivotArea dataOnly="0" labelOnly="1" grandRow="1" outline="0" fieldPosition="0"/>
    </format>
    <format dxfId="91">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0" count="67">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s>
  <pivotTableStyleInfo name="PivotStyleLight16" showRowHeaders="1" showColHeaders="1" showRowStripes="0" showColStripes="0" showLastColumn="1"/>
  <filters count="1">
    <filter fld="0" type="dateBetween" evalOrder="-1" id="96" name="Week_Start_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549D04-19F2-441A-9407-D9318C409E6D}" name="PivotTabl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C48:D52" firstHeaderRow="1"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Row" showAll="0">
      <items count="4">
        <item x="0"/>
        <item x="1"/>
        <item x="2"/>
        <item t="default"/>
      </items>
    </pivotField>
    <pivotField numFmtId="2" showAll="0"/>
    <pivotField numFmtId="2" showAll="0"/>
    <pivotField numFmtId="2" showAll="0"/>
    <pivotField numFmtId="2" showAll="0"/>
    <pivotField dataField="1" numFmtId="2" showAll="0"/>
    <pivotField numFmtId="167" showAll="0"/>
    <pivotField numFmtId="10" showAll="0"/>
    <pivotField showAll="0"/>
    <pivotField numFmtId="169" showAll="0"/>
  </pivotFields>
  <rowFields count="1">
    <field x="1"/>
  </rowFields>
  <rowItems count="4">
    <i>
      <x/>
    </i>
    <i>
      <x v="1"/>
    </i>
    <i>
      <x v="2"/>
    </i>
    <i t="grand">
      <x/>
    </i>
  </rowItems>
  <colItems count="1">
    <i/>
  </colItems>
  <dataFields count="1">
    <dataField name="Sum of Engagement_Rate" fld="6" showDataAs="percentOfTotal"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48" name="Week_Start_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B557CD-984C-45CA-95D7-E4BC3FFCB28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N4:R9" firstHeaderRow="1" firstDataRow="2" firstDataCol="1"/>
  <pivotFields count="20">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axis="axisCol"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numFmtId="10" showAll="0"/>
    <pivotField numFmtId="164" showAll="0"/>
    <pivotField numFmtId="164"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4">
    <i>
      <x/>
    </i>
    <i>
      <x v="1"/>
    </i>
    <i>
      <x v="2"/>
    </i>
    <i t="grand">
      <x/>
    </i>
  </rowItems>
  <colFields count="1">
    <field x="3"/>
  </colFields>
  <colItems count="4">
    <i>
      <x/>
    </i>
    <i>
      <x v="1"/>
    </i>
    <i>
      <x v="2"/>
    </i>
    <i t="grand">
      <x/>
    </i>
  </colItems>
  <dataFields count="1">
    <dataField name="Average of Impressions" fld="8" subtotal="average" baseField="3" baseItem="0"/>
  </dataFields>
  <formats count="10">
    <format dxfId="63">
      <pivotArea type="all" dataOnly="0" outline="0" fieldPosition="0"/>
    </format>
    <format dxfId="62">
      <pivotArea outline="0" collapsedLevelsAreSubtotals="1" fieldPosition="0"/>
    </format>
    <format dxfId="61">
      <pivotArea type="origin" dataOnly="0" labelOnly="1" outline="0" fieldPosition="0"/>
    </format>
    <format dxfId="60">
      <pivotArea field="3" type="button" dataOnly="0" labelOnly="1" outline="0" axis="axisCol" fieldPosition="0"/>
    </format>
    <format dxfId="59">
      <pivotArea type="topRight" dataOnly="0" labelOnly="1" outline="0"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dataOnly="0" labelOnly="1" fieldPosition="0">
        <references count="1">
          <reference field="3" count="0"/>
        </references>
      </pivotArea>
    </format>
    <format dxfId="54">
      <pivotArea dataOnly="0" labelOnly="1" grandCol="1" outline="0" fieldPosition="0"/>
    </format>
  </formats>
  <chartFormats count="4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3">
          <reference field="4294967294" count="1" selected="0">
            <x v="0"/>
          </reference>
          <reference field="1" count="1" selected="0">
            <x v="1"/>
          </reference>
          <reference field="3"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3" count="1" selected="0">
            <x v="0"/>
          </reference>
        </references>
      </pivotArea>
    </chartFormat>
    <chartFormat chart="0" format="5" series="1">
      <pivotArea type="data" outline="0" fieldPosition="0">
        <references count="3">
          <reference field="4294967294" count="1" selected="0">
            <x v="0"/>
          </reference>
          <reference field="1" count="1" selected="0">
            <x v="2"/>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3">
          <reference field="4294967294" count="1" selected="0">
            <x v="0"/>
          </reference>
          <reference field="1" count="1" selected="0">
            <x v="2"/>
          </reference>
          <reference field="3" count="1" selected="0">
            <x v="2"/>
          </reference>
        </references>
      </pivotArea>
    </chartFormat>
    <chartFormat chart="0" format="10">
      <pivotArea type="data" outline="0" fieldPosition="0">
        <references count="3">
          <reference field="4294967294" count="1" selected="0">
            <x v="0"/>
          </reference>
          <reference field="1" count="1" selected="0">
            <x v="2"/>
          </reference>
          <reference field="3" count="1" selected="0">
            <x v="0"/>
          </reference>
        </references>
      </pivotArea>
    </chartFormat>
    <chartFormat chart="0" format="11">
      <pivotArea type="data" outline="0" fieldPosition="0">
        <references count="3">
          <reference field="4294967294" count="1" selected="0">
            <x v="0"/>
          </reference>
          <reference field="1" count="1" selected="0">
            <x v="1"/>
          </reference>
          <reference field="3" count="1" selected="0">
            <x v="1"/>
          </reference>
        </references>
      </pivotArea>
    </chartFormat>
    <chartFormat chart="0" format="12">
      <pivotArea type="data" outline="0" fieldPosition="0">
        <references count="3">
          <reference field="4294967294" count="1" selected="0">
            <x v="0"/>
          </reference>
          <reference field="1" count="1" selected="0">
            <x v="1"/>
          </reference>
          <reference field="3" count="1" selected="0">
            <x v="2"/>
          </reference>
        </references>
      </pivotArea>
    </chartFormat>
    <chartFormat chart="0" format="13">
      <pivotArea type="data" outline="0" fieldPosition="0">
        <references count="3">
          <reference field="4294967294" count="1" selected="0">
            <x v="0"/>
          </reference>
          <reference field="1" count="1" selected="0">
            <x v="0"/>
          </reference>
          <reference field="3" count="1" selected="0">
            <x v="2"/>
          </reference>
        </references>
      </pivotArea>
    </chartFormat>
    <chartFormat chart="0" format="14">
      <pivotArea type="data" outline="0" fieldPosition="0">
        <references count="3">
          <reference field="4294967294" count="1" selected="0">
            <x v="0"/>
          </reference>
          <reference field="1" count="1" selected="0">
            <x v="0"/>
          </reference>
          <reference field="3" count="1" selected="0">
            <x v="1"/>
          </reference>
        </references>
      </pivotArea>
    </chartFormat>
    <chartFormat chart="4" format="24" series="1">
      <pivotArea type="data" outline="0" fieldPosition="0">
        <references count="2">
          <reference field="4294967294" count="1" selected="0">
            <x v="0"/>
          </reference>
          <reference field="3" count="1" selected="0">
            <x v="0"/>
          </reference>
        </references>
      </pivotArea>
    </chartFormat>
    <chartFormat chart="4" format="25">
      <pivotArea type="data" outline="0" fieldPosition="0">
        <references count="3">
          <reference field="4294967294" count="1" selected="0">
            <x v="0"/>
          </reference>
          <reference field="1" count="1" selected="0">
            <x v="2"/>
          </reference>
          <reference field="3" count="1" selected="0">
            <x v="0"/>
          </reference>
        </references>
      </pivotArea>
    </chartFormat>
    <chartFormat chart="4" format="26" series="1">
      <pivotArea type="data" outline="0" fieldPosition="0">
        <references count="2">
          <reference field="4294967294" count="1" selected="0">
            <x v="0"/>
          </reference>
          <reference field="3" count="1" selected="0">
            <x v="1"/>
          </reference>
        </references>
      </pivotArea>
    </chartFormat>
    <chartFormat chart="4" format="27">
      <pivotArea type="data" outline="0" fieldPosition="0">
        <references count="3">
          <reference field="4294967294" count="1" selected="0">
            <x v="0"/>
          </reference>
          <reference field="1" count="1" selected="0">
            <x v="0"/>
          </reference>
          <reference field="3" count="1" selected="0">
            <x v="1"/>
          </reference>
        </references>
      </pivotArea>
    </chartFormat>
    <chartFormat chart="4" format="28">
      <pivotArea type="data" outline="0" fieldPosition="0">
        <references count="3">
          <reference field="4294967294" count="1" selected="0">
            <x v="0"/>
          </reference>
          <reference field="1" count="1" selected="0">
            <x v="1"/>
          </reference>
          <reference field="3" count="1" selected="0">
            <x v="1"/>
          </reference>
        </references>
      </pivotArea>
    </chartFormat>
    <chartFormat chart="4" format="29" series="1">
      <pivotArea type="data" outline="0" fieldPosition="0">
        <references count="2">
          <reference field="4294967294" count="1" selected="0">
            <x v="0"/>
          </reference>
          <reference field="3" count="1" selected="0">
            <x v="2"/>
          </reference>
        </references>
      </pivotArea>
    </chartFormat>
    <chartFormat chart="4" format="30">
      <pivotArea type="data" outline="0" fieldPosition="0">
        <references count="3">
          <reference field="4294967294" count="1" selected="0">
            <x v="0"/>
          </reference>
          <reference field="1" count="1" selected="0">
            <x v="0"/>
          </reference>
          <reference field="3" count="1" selected="0">
            <x v="2"/>
          </reference>
        </references>
      </pivotArea>
    </chartFormat>
    <chartFormat chart="4" format="31">
      <pivotArea type="data" outline="0" fieldPosition="0">
        <references count="3">
          <reference field="4294967294" count="1" selected="0">
            <x v="0"/>
          </reference>
          <reference field="1" count="1" selected="0">
            <x v="1"/>
          </reference>
          <reference field="3" count="1" selected="0">
            <x v="2"/>
          </reference>
        </references>
      </pivotArea>
    </chartFormat>
    <chartFormat chart="4" format="32">
      <pivotArea type="data" outline="0" fieldPosition="0">
        <references count="3">
          <reference field="4294967294" count="1" selected="0">
            <x v="0"/>
          </reference>
          <reference field="1" count="1" selected="0">
            <x v="2"/>
          </reference>
          <reference field="3" count="1" selected="0">
            <x v="2"/>
          </reference>
        </references>
      </pivotArea>
    </chartFormat>
    <chartFormat chart="8" format="42" series="1">
      <pivotArea type="data" outline="0" fieldPosition="0">
        <references count="2">
          <reference field="4294967294" count="1" selected="0">
            <x v="0"/>
          </reference>
          <reference field="3" count="1" selected="0">
            <x v="0"/>
          </reference>
        </references>
      </pivotArea>
    </chartFormat>
    <chartFormat chart="8" format="43">
      <pivotArea type="data" outline="0" fieldPosition="0">
        <references count="3">
          <reference field="4294967294" count="1" selected="0">
            <x v="0"/>
          </reference>
          <reference field="1" count="1" selected="0">
            <x v="2"/>
          </reference>
          <reference field="3" count="1" selected="0">
            <x v="0"/>
          </reference>
        </references>
      </pivotArea>
    </chartFormat>
    <chartFormat chart="8" format="44" series="1">
      <pivotArea type="data" outline="0" fieldPosition="0">
        <references count="2">
          <reference field="4294967294" count="1" selected="0">
            <x v="0"/>
          </reference>
          <reference field="3" count="1" selected="0">
            <x v="1"/>
          </reference>
        </references>
      </pivotArea>
    </chartFormat>
    <chartFormat chart="8" format="45">
      <pivotArea type="data" outline="0" fieldPosition="0">
        <references count="3">
          <reference field="4294967294" count="1" selected="0">
            <x v="0"/>
          </reference>
          <reference field="1" count="1" selected="0">
            <x v="0"/>
          </reference>
          <reference field="3" count="1" selected="0">
            <x v="1"/>
          </reference>
        </references>
      </pivotArea>
    </chartFormat>
    <chartFormat chart="8" format="46">
      <pivotArea type="data" outline="0" fieldPosition="0">
        <references count="3">
          <reference field="4294967294" count="1" selected="0">
            <x v="0"/>
          </reference>
          <reference field="1" count="1" selected="0">
            <x v="1"/>
          </reference>
          <reference field="3" count="1" selected="0">
            <x v="1"/>
          </reference>
        </references>
      </pivotArea>
    </chartFormat>
    <chartFormat chart="8" format="47" series="1">
      <pivotArea type="data" outline="0" fieldPosition="0">
        <references count="2">
          <reference field="4294967294" count="1" selected="0">
            <x v="0"/>
          </reference>
          <reference field="3" count="1" selected="0">
            <x v="2"/>
          </reference>
        </references>
      </pivotArea>
    </chartFormat>
    <chartFormat chart="8" format="48">
      <pivotArea type="data" outline="0" fieldPosition="0">
        <references count="3">
          <reference field="4294967294" count="1" selected="0">
            <x v="0"/>
          </reference>
          <reference field="1" count="1" selected="0">
            <x v="0"/>
          </reference>
          <reference field="3" count="1" selected="0">
            <x v="2"/>
          </reference>
        </references>
      </pivotArea>
    </chartFormat>
    <chartFormat chart="8" format="49">
      <pivotArea type="data" outline="0" fieldPosition="0">
        <references count="3">
          <reference field="4294967294" count="1" selected="0">
            <x v="0"/>
          </reference>
          <reference field="1" count="1" selected="0">
            <x v="1"/>
          </reference>
          <reference field="3" count="1" selected="0">
            <x v="2"/>
          </reference>
        </references>
      </pivotArea>
    </chartFormat>
    <chartFormat chart="8" format="50">
      <pivotArea type="data" outline="0" fieldPosition="0">
        <references count="3">
          <reference field="4294967294" count="1" selected="0">
            <x v="0"/>
          </reference>
          <reference field="1" count="1" selected="0">
            <x v="2"/>
          </reference>
          <reference field="3" count="1" selected="0">
            <x v="2"/>
          </reference>
        </references>
      </pivotArea>
    </chartFormat>
    <chartFormat chart="9" format="42" series="1">
      <pivotArea type="data" outline="0" fieldPosition="0">
        <references count="2">
          <reference field="4294967294" count="1" selected="0">
            <x v="0"/>
          </reference>
          <reference field="3" count="1" selected="0">
            <x v="0"/>
          </reference>
        </references>
      </pivotArea>
    </chartFormat>
    <chartFormat chart="9" format="43">
      <pivotArea type="data" outline="0" fieldPosition="0">
        <references count="3">
          <reference field="4294967294" count="1" selected="0">
            <x v="0"/>
          </reference>
          <reference field="1" count="1" selected="0">
            <x v="2"/>
          </reference>
          <reference field="3" count="1" selected="0">
            <x v="0"/>
          </reference>
        </references>
      </pivotArea>
    </chartFormat>
    <chartFormat chart="9" format="44" series="1">
      <pivotArea type="data" outline="0" fieldPosition="0">
        <references count="2">
          <reference field="4294967294" count="1" selected="0">
            <x v="0"/>
          </reference>
          <reference field="3" count="1" selected="0">
            <x v="1"/>
          </reference>
        </references>
      </pivotArea>
    </chartFormat>
    <chartFormat chart="9" format="45">
      <pivotArea type="data" outline="0" fieldPosition="0">
        <references count="3">
          <reference field="4294967294" count="1" selected="0">
            <x v="0"/>
          </reference>
          <reference field="1" count="1" selected="0">
            <x v="0"/>
          </reference>
          <reference field="3" count="1" selected="0">
            <x v="1"/>
          </reference>
        </references>
      </pivotArea>
    </chartFormat>
    <chartFormat chart="9" format="46">
      <pivotArea type="data" outline="0" fieldPosition="0">
        <references count="3">
          <reference field="4294967294" count="1" selected="0">
            <x v="0"/>
          </reference>
          <reference field="1" count="1" selected="0">
            <x v="1"/>
          </reference>
          <reference field="3" count="1" selected="0">
            <x v="1"/>
          </reference>
        </references>
      </pivotArea>
    </chartFormat>
    <chartFormat chart="9" format="47" series="1">
      <pivotArea type="data" outline="0" fieldPosition="0">
        <references count="2">
          <reference field="4294967294" count="1" selected="0">
            <x v="0"/>
          </reference>
          <reference field="3" count="1" selected="0">
            <x v="2"/>
          </reference>
        </references>
      </pivotArea>
    </chartFormat>
    <chartFormat chart="9" format="48">
      <pivotArea type="data" outline="0" fieldPosition="0">
        <references count="3">
          <reference field="4294967294" count="1" selected="0">
            <x v="0"/>
          </reference>
          <reference field="1" count="1" selected="0">
            <x v="0"/>
          </reference>
          <reference field="3" count="1" selected="0">
            <x v="2"/>
          </reference>
        </references>
      </pivotArea>
    </chartFormat>
    <chartFormat chart="9" format="49">
      <pivotArea type="data" outline="0" fieldPosition="0">
        <references count="3">
          <reference field="4294967294" count="1" selected="0">
            <x v="0"/>
          </reference>
          <reference field="1" count="1" selected="0">
            <x v="1"/>
          </reference>
          <reference field="3" count="1" selected="0">
            <x v="2"/>
          </reference>
        </references>
      </pivotArea>
    </chartFormat>
    <chartFormat chart="9" format="50">
      <pivotArea type="data" outline="0" fieldPosition="0">
        <references count="3">
          <reference field="4294967294" count="1" selected="0">
            <x v="0"/>
          </reference>
          <reference field="1"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0EEE95-6B6E-4BD4-B336-1F7B32A3C8B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1:I26" firstHeaderRow="1" firstDataRow="2" firstDataCol="1"/>
  <pivotFields count="2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axis="axisCol" showAll="0">
      <items count="5">
        <item x="0"/>
        <item x="1"/>
        <item x="3"/>
        <item x="2"/>
        <item t="default"/>
      </items>
    </pivotField>
    <pivotField dataField="1" numFmtId="10" showAll="0"/>
    <pivotField numFmtId="164" showAll="0"/>
    <pivotField numFmtId="164" showAll="0"/>
    <pivotField axis="axisRow" showAll="0">
      <items count="4">
        <item x="0"/>
        <item x="1"/>
        <item x="2"/>
        <item t="default"/>
      </items>
    </pivotField>
    <pivotField showAll="0" defaultSubtotal="0"/>
    <pivotField showAll="0" defaultSubtotal="0"/>
  </pivotFields>
  <rowFields count="1">
    <field x="17"/>
  </rowFields>
  <rowItems count="4">
    <i>
      <x/>
    </i>
    <i>
      <x v="1"/>
    </i>
    <i>
      <x v="2"/>
    </i>
    <i t="grand">
      <x/>
    </i>
  </rowItems>
  <colFields count="1">
    <field x="13"/>
  </colFields>
  <colItems count="5">
    <i>
      <x/>
    </i>
    <i>
      <x v="1"/>
    </i>
    <i>
      <x v="2"/>
    </i>
    <i>
      <x v="3"/>
    </i>
    <i t="grand">
      <x/>
    </i>
  </colItems>
  <dataFields count="1">
    <dataField name="Average of ENGAGEMENT RATE" fld="14" subtotal="average" baseField="17" baseItem="0"/>
  </dataFields>
  <formats count="11">
    <format dxfId="16">
      <pivotArea collapsedLevelsAreSubtotals="1" fieldPosition="0">
        <references count="1">
          <reference field="17" count="0"/>
        </references>
      </pivotArea>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3" type="button" dataOnly="0" labelOnly="1" outline="0" axis="axisCol" fieldPosition="0"/>
    </format>
    <format dxfId="11">
      <pivotArea type="topRight" dataOnly="0" labelOnly="1" outline="0" fieldPosition="0"/>
    </format>
    <format dxfId="10">
      <pivotArea field="17" type="button" dataOnly="0" labelOnly="1" outline="0" axis="axisRow" fieldPosition="0"/>
    </format>
    <format dxfId="9">
      <pivotArea dataOnly="0" labelOnly="1" fieldPosition="0">
        <references count="1">
          <reference field="17" count="0"/>
        </references>
      </pivotArea>
    </format>
    <format dxfId="8">
      <pivotArea dataOnly="0" labelOnly="1" grandRow="1" outline="0" fieldPosition="0"/>
    </format>
    <format dxfId="7">
      <pivotArea dataOnly="0" labelOnly="1" fieldPosition="0">
        <references count="1">
          <reference field="13"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0FA00A-B46A-4C61-903D-1B9A11DA6907}"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7:L12" firstHeaderRow="0" firstDataRow="1" firstDataCol="1"/>
  <pivotFields count="18">
    <pivotField showAll="0"/>
    <pivotField showAll="0"/>
    <pivotField numFmtId="22" showAll="0"/>
    <pivotField showAll="0"/>
    <pivotField showAll="0"/>
    <pivotField dataField="1" numFmtId="2" showAll="0"/>
    <pivotField numFmtId="2" showAll="0"/>
    <pivotField numFmtId="2" showAll="0"/>
    <pivotField dataField="1" numFmtId="2" showAll="0"/>
    <pivotField numFmtId="2" showAll="0"/>
    <pivotField dataField="1" numFmtId="2" showAll="0"/>
    <pivotField showAll="0"/>
    <pivotField showAll="0"/>
    <pivotField axis="axisRow" showAll="0">
      <items count="5">
        <item x="0"/>
        <item x="1"/>
        <item x="3"/>
        <item x="2"/>
        <item t="default"/>
      </items>
    </pivotField>
    <pivotField showAll="0"/>
    <pivotField dragToRow="0" dragToCol="0" dragToPage="0" showAll="0" defaultSubtotal="0"/>
    <pivotField showAll="0" defaultSubtotal="0"/>
    <pivotField showAll="0" defaultSubtotal="0"/>
  </pivotFields>
  <rowFields count="1">
    <field x="13"/>
  </rowFields>
  <rowItems count="5">
    <i>
      <x/>
    </i>
    <i>
      <x v="1"/>
    </i>
    <i>
      <x v="2"/>
    </i>
    <i>
      <x v="3"/>
    </i>
    <i t="grand">
      <x/>
    </i>
  </rowItems>
  <colFields count="1">
    <field x="-2"/>
  </colFields>
  <colItems count="6">
    <i>
      <x/>
    </i>
    <i i="1">
      <x v="1"/>
    </i>
    <i i="2">
      <x v="2"/>
    </i>
    <i i="3">
      <x v="3"/>
    </i>
    <i i="4">
      <x v="4"/>
    </i>
    <i i="5">
      <x v="5"/>
    </i>
  </colItems>
  <dataFields count="6">
    <dataField name="Average of Likess" fld="5" subtotal="average" baseField="13" baseItem="0"/>
    <dataField name="Average of Clicks" fld="10" subtotal="average" baseField="13" baseItem="0"/>
    <dataField name="Average of Impressions" fld="8" subtotal="average" baseField="0" baseItem="0"/>
    <dataField name="Sum of Likess" fld="5" baseField="0" baseItem="0"/>
    <dataField name="Sum of Clicks" fld="10" baseField="0" baseItem="0"/>
    <dataField name="Sum of Impressions" fld="8" baseField="0" baseItem="0"/>
  </dataFields>
  <formats count="20">
    <format dxfId="36">
      <pivotArea collapsedLevelsAreSubtotals="1" fieldPosition="0">
        <references count="2">
          <reference field="4294967294" count="1" selected="0">
            <x v="3"/>
          </reference>
          <reference field="13" count="1">
            <x v="0"/>
          </reference>
        </references>
      </pivotArea>
    </format>
    <format dxfId="35">
      <pivotArea collapsedLevelsAreSubtotals="1" fieldPosition="0">
        <references count="2">
          <reference field="4294967294" count="1" selected="0">
            <x v="4"/>
          </reference>
          <reference field="13" count="1">
            <x v="0"/>
          </reference>
        </references>
      </pivotArea>
    </format>
    <format dxfId="34">
      <pivotArea collapsedLevelsAreSubtotals="1" fieldPosition="0">
        <references count="2">
          <reference field="4294967294" count="1" selected="0">
            <x v="5"/>
          </reference>
          <reference field="13" count="1">
            <x v="0"/>
          </reference>
        </references>
      </pivotArea>
    </format>
    <format dxfId="33">
      <pivotArea collapsedLevelsAreSubtotals="1" fieldPosition="0">
        <references count="2">
          <reference field="4294967294" count="1" selected="0">
            <x v="3"/>
          </reference>
          <reference field="13" count="1">
            <x v="2"/>
          </reference>
        </references>
      </pivotArea>
    </format>
    <format dxfId="32">
      <pivotArea collapsedLevelsAreSubtotals="1" fieldPosition="0">
        <references count="2">
          <reference field="4294967294" count="1" selected="0">
            <x v="4"/>
          </reference>
          <reference field="13" count="1">
            <x v="2"/>
          </reference>
        </references>
      </pivotArea>
    </format>
    <format dxfId="31">
      <pivotArea collapsedLevelsAreSubtotals="1" fieldPosition="0">
        <references count="2">
          <reference field="4294967294" count="1" selected="0">
            <x v="5"/>
          </reference>
          <reference field="13" count="1">
            <x v="2"/>
          </reference>
        </references>
      </pivotArea>
    </format>
    <format dxfId="30">
      <pivotArea collapsedLevelsAreSubtotals="1" fieldPosition="0">
        <references count="2">
          <reference field="4294967294" count="1" selected="0">
            <x v="3"/>
          </reference>
          <reference field="13" count="1">
            <x v="1"/>
          </reference>
        </references>
      </pivotArea>
    </format>
    <format dxfId="29">
      <pivotArea collapsedLevelsAreSubtotals="1" fieldPosition="0">
        <references count="2">
          <reference field="4294967294" count="1" selected="0">
            <x v="4"/>
          </reference>
          <reference field="13" count="1">
            <x v="1"/>
          </reference>
        </references>
      </pivotArea>
    </format>
    <format dxfId="28">
      <pivotArea collapsedLevelsAreSubtotals="1" fieldPosition="0">
        <references count="2">
          <reference field="4294967294" count="1" selected="0">
            <x v="5"/>
          </reference>
          <reference field="13" count="1">
            <x v="1"/>
          </reference>
        </references>
      </pivotArea>
    </format>
    <format dxfId="27">
      <pivotArea collapsedLevelsAreSubtotals="1" fieldPosition="0">
        <references count="2">
          <reference field="4294967294" count="1" selected="0">
            <x v="3"/>
          </reference>
          <reference field="13" count="1">
            <x v="3"/>
          </reference>
        </references>
      </pivotArea>
    </format>
    <format dxfId="26">
      <pivotArea collapsedLevelsAreSubtotals="1" fieldPosition="0">
        <references count="2">
          <reference field="4294967294" count="1" selected="0">
            <x v="4"/>
          </reference>
          <reference field="13" count="1">
            <x v="3"/>
          </reference>
        </references>
      </pivotArea>
    </format>
    <format dxfId="25">
      <pivotArea collapsedLevelsAreSubtotals="1" fieldPosition="0">
        <references count="2">
          <reference field="4294967294" count="1" selected="0">
            <x v="5"/>
          </reference>
          <reference field="13" count="1">
            <x v="3"/>
          </reference>
        </references>
      </pivotArea>
    </format>
    <format dxfId="24">
      <pivotArea collapsedLevelsAreSubtotals="1" fieldPosition="0">
        <references count="2">
          <reference field="4294967294" count="3" selected="0">
            <x v="0"/>
            <x v="1"/>
            <x v="2"/>
          </reference>
          <reference field="13" count="0"/>
        </references>
      </pivotArea>
    </format>
    <format dxfId="23">
      <pivotArea dataOnly="0" labelOnly="1" fieldPosition="0">
        <references count="1">
          <reference field="13" count="0"/>
        </references>
      </pivotArea>
    </format>
    <format dxfId="22">
      <pivotArea type="all" dataOnly="0" outline="0" fieldPosition="0"/>
    </format>
    <format dxfId="21">
      <pivotArea outline="0" collapsedLevelsAreSubtotals="1" fieldPosition="0"/>
    </format>
    <format dxfId="20">
      <pivotArea field="13" type="button" dataOnly="0" labelOnly="1" outline="0" axis="axisRow" fieldPosition="0"/>
    </format>
    <format dxfId="19">
      <pivotArea dataOnly="0" labelOnly="1" fieldPosition="0">
        <references count="1">
          <reference field="13" count="0"/>
        </references>
      </pivotArea>
    </format>
    <format dxfId="18">
      <pivotArea dataOnly="0" labelOnly="1" grandRow="1" outline="0" fieldPosition="0"/>
    </format>
    <format dxfId="1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2879CA-7F06-4C72-BCAE-7441BE56BB6E}" name="PivotTable3"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O60:P65" firstHeaderRow="1"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showAll="0"/>
    <pivotField numFmtId="2" showAll="0"/>
    <pivotField numFmtId="2" showAll="0"/>
    <pivotField dataField="1" numFmtId="2" showAll="0"/>
    <pivotField numFmtId="2" showAll="0"/>
    <pivotField numFmtId="2" showAll="0"/>
    <pivotField numFmtId="167" showAll="0"/>
    <pivotField numFmtId="10" showAll="0"/>
    <pivotField axis="axisRow" showAll="0">
      <items count="6">
        <item x="3"/>
        <item x="4"/>
        <item h="1" x="0"/>
        <item x="1"/>
        <item x="2"/>
        <item t="default"/>
      </items>
    </pivotField>
    <pivotField numFmtId="169" showAll="0"/>
  </pivotFields>
  <rowFields count="1">
    <field x="9"/>
  </rowFields>
  <rowItems count="5">
    <i>
      <x/>
    </i>
    <i>
      <x v="1"/>
    </i>
    <i>
      <x v="3"/>
    </i>
    <i>
      <x v="4"/>
    </i>
    <i t="grand">
      <x/>
    </i>
  </rowItems>
  <colItems count="1">
    <i/>
  </colItems>
  <dataFields count="1">
    <dataField name="Sum of net followers grth" fld="4" baseField="0" baseItem="0"/>
  </dataFields>
  <formats count="6">
    <format dxfId="42">
      <pivotArea type="all" dataOnly="0" outline="0" fieldPosition="0"/>
    </format>
    <format dxfId="41">
      <pivotArea outline="0" collapsedLevelsAreSubtotals="1" fieldPosition="0"/>
    </format>
    <format dxfId="40">
      <pivotArea field="9" type="button" dataOnly="0" labelOnly="1" outline="0" axis="axisRow" fieldPosition="0"/>
    </format>
    <format dxfId="39">
      <pivotArea dataOnly="0" labelOnly="1" fieldPosition="0">
        <references count="1">
          <reference field="9" count="0"/>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filters count="1">
    <filter fld="0" type="dateBetween" evalOrder="-1" id="191" name="Week_Start_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78B224-BCAC-4C37-854B-869F87CEE024}" name="PivotTabl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60:H66" firstHeaderRow="0"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showAll="0"/>
    <pivotField numFmtId="2" showAll="0"/>
    <pivotField numFmtId="2" showAll="0"/>
    <pivotField numFmtId="2" showAll="0"/>
    <pivotField numFmtId="2" showAll="0"/>
    <pivotField dataField="1" numFmtId="2" showAll="0"/>
    <pivotField dataField="1" numFmtId="167" showAll="0"/>
    <pivotField numFmtId="10" showAll="0"/>
    <pivotField axis="axisRow" showAll="0">
      <items count="6">
        <item x="3"/>
        <item x="4"/>
        <item x="0"/>
        <item x="1"/>
        <item x="2"/>
        <item t="default"/>
      </items>
    </pivotField>
    <pivotField dataField="1" numFmtId="169" showAll="0"/>
  </pivotFields>
  <rowFields count="1">
    <field x="9"/>
  </rowFields>
  <rowItems count="6">
    <i>
      <x/>
    </i>
    <i>
      <x v="1"/>
    </i>
    <i>
      <x v="2"/>
    </i>
    <i>
      <x v="3"/>
    </i>
    <i>
      <x v="4"/>
    </i>
    <i t="grand">
      <x/>
    </i>
  </rowItems>
  <colFields count="1">
    <field x="-2"/>
  </colFields>
  <colItems count="3">
    <i>
      <x/>
    </i>
    <i i="1">
      <x v="1"/>
    </i>
    <i i="2">
      <x v="2"/>
    </i>
  </colItems>
  <dataFields count="3">
    <dataField name="Sum of Engagement_Rate" fld="6" baseField="0" baseItem="0"/>
    <dataField name="Sum of Ad_Spend" fld="7" baseField="0" baseItem="0"/>
    <dataField name="Sum of ROI" fld="10" showDataAs="percentOfTotal" baseField="8" baseItem="0" numFmtId="10"/>
  </dataFields>
  <formats count="6">
    <format dxfId="48">
      <pivotArea type="all" dataOnly="0" outline="0" fieldPosition="0"/>
    </format>
    <format dxfId="47">
      <pivotArea outline="0" collapsedLevelsAreSubtotals="1" fieldPosition="0"/>
    </format>
    <format dxfId="46">
      <pivotArea field="9" type="button" dataOnly="0" labelOnly="1" outline="0" axis="axisRow" fieldPosition="0"/>
    </format>
    <format dxfId="45">
      <pivotArea dataOnly="0" labelOnly="1" fieldPosition="0">
        <references count="1">
          <reference field="9"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0" type="dateBetween" evalOrder="-1" id="233" name="Week_Start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1BAA63-E29F-452A-8769-2DE810DC5376}" nam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7:F11" firstHeaderRow="0" firstDataRow="1" firstDataCol="1"/>
  <pivotFields count="18">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showAll="0"/>
    <pivotField dataField="1" numFmtId="2" showAll="0"/>
    <pivotField dataField="1" numFmtId="2" showAll="0"/>
    <pivotField dataField="1" numFmtId="2" showAll="0"/>
    <pivotField numFmtId="2" showAll="0"/>
    <pivotField numFmtId="2" showAll="0"/>
    <pivotField numFmtId="2"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Fields count="1">
    <field x="-2"/>
  </colFields>
  <colItems count="3">
    <i>
      <x/>
    </i>
    <i i="1">
      <x v="1"/>
    </i>
    <i i="2">
      <x v="2"/>
    </i>
  </colItems>
  <dataFields count="3">
    <dataField name="Sum of Likess" fld="5" baseField="0" baseItem="0"/>
    <dataField name="Sum of Sharess" fld="6" baseField="0" baseItem="0"/>
    <dataField name="Sum of Comments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2A454D-989A-4D24-B37A-9F547280B7C7}" nam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17:I21" firstHeaderRow="1" firstDataRow="1" firstDataCol="1"/>
  <pivotFields count="11">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axis="axisRow" showAll="0">
      <items count="4">
        <item x="0"/>
        <item x="1"/>
        <item x="2"/>
        <item t="default"/>
      </items>
    </pivotField>
    <pivotField numFmtId="2" showAll="0"/>
    <pivotField numFmtId="2" showAll="0"/>
    <pivotField numFmtId="2" showAll="0"/>
    <pivotField dataField="1" numFmtId="2" showAll="0"/>
    <pivotField numFmtId="2" showAll="0"/>
    <pivotField numFmtId="2" showAll="0"/>
    <pivotField numFmtId="10" showAll="0"/>
    <pivotField showAll="0"/>
    <pivotField numFmtId="169" showAll="0"/>
  </pivotFields>
  <rowFields count="1">
    <field x="1"/>
  </rowFields>
  <rowItems count="4">
    <i>
      <x/>
    </i>
    <i>
      <x v="1"/>
    </i>
    <i>
      <x v="2"/>
    </i>
    <i t="grand">
      <x/>
    </i>
  </rowItems>
  <colItems count="1">
    <i/>
  </colItems>
  <dataFields count="1">
    <dataField name="Sum of Total_Followe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952E4F-37B8-4056-BBA6-F3514C6B0C64}" autoFormatId="16" applyNumberFormats="0" applyBorderFormats="0" applyFontFormats="0" applyPatternFormats="0" applyAlignmentFormats="0" applyWidthHeightFormats="0">
  <queryTableRefresh nextId="20" unboundColumnsRight="4">
    <queryTableFields count="18">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Campaign_Name"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52C73CE-BD15-428C-B5BF-61B2E3342799}" sourceName="Platform">
  <pivotTables>
    <pivotTable tabId="4" name="2"/>
  </pivotTables>
  <data>
    <tabular pivotCacheId="18951023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778D0A7F-51CE-4697-AF1F-E38C34880178}" sourceName="Content Type">
  <data>
    <tabular pivotCacheId="192103912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BB3FBB0C-747C-44AB-A0E3-BBC9D801BBFE}" sourceName="Platform">
  <pivotTables>
    <pivotTable tabId="4" name="1"/>
  </pivotTables>
  <data>
    <tabular pivotCacheId="192103912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Start_Date" xr10:uid="{361F4ED6-6063-4694-886C-0AB0E0730EEC}" sourceName="Week_Start_D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78464B02-8C96-4737-9961-972E41349296}" cache="Slicer_Platform1" style="SlicerStyleOther1 2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3520881-67FC-4FC8-8F55-C01487436DD6}" cache="Slicer_Platform" showCaption="0" style="SlicerStyleLight1" rowHeight="182880"/>
  <slicer name="Content Type" xr10:uid="{F6D61BCF-ADDA-4A0C-BC9C-4394525E48A6}" cache="Slicer_Content_Type" caption="Content Type" rowHeight="241300"/>
  <slicer name="Platform 2" xr10:uid="{36B41B68-6866-4B25-B7C3-7E1A9CE21EAF}" cache="Slicer_Platform1" caption="Platform" style="SlicerStyleOther1 2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_Start_Date 1" xr10:uid="{F1882066-872B-48AD-8623-5AE5F8E4D80D}" cache="Slicer_Week_Start_Date" caption="Week_Start_Date" style="SlicerStyleOther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F102D4-6082-4BC9-96C2-C388C12E7895}" name="Table1__3" displayName="Table1__3" ref="A1:R301" tableType="queryTable" totalsRowShown="0">
  <autoFilter ref="A1:R301" xr:uid="{84F102D4-6082-4BC9-96C2-C388C12E7895}"/>
  <tableColumns count="18">
    <tableColumn id="1" xr3:uid="{9959DC2B-FB86-4C6C-89C4-254993D5ECD9}" uniqueName="1" name="Post ID" queryTableFieldId="1" dataDxfId="254"/>
    <tableColumn id="2" xr3:uid="{AC7BDC2B-4397-43F2-A6BD-12EE73A7C225}" uniqueName="2" name="Platform" queryTableFieldId="2" dataDxfId="253"/>
    <tableColumn id="3" xr3:uid="{CCA0B308-61C8-4FF7-A5C8-F2E74DE713E5}" uniqueName="3" name="Date" queryTableFieldId="3" dataDxfId="252"/>
    <tableColumn id="4" xr3:uid="{26D86504-A7A7-47BC-835A-7BA88C734A36}" uniqueName="4" name="Content Type" queryTableFieldId="4" dataDxfId="251"/>
    <tableColumn id="5" xr3:uid="{0B6EC29C-9C41-4D38-845D-3D35311D9562}" uniqueName="5" name="Post Text" queryTableFieldId="5" dataDxfId="250"/>
    <tableColumn id="6" xr3:uid="{24A5E725-DEF3-4370-B324-FF79A2E606E1}" uniqueName="6" name="Likes" queryTableFieldId="6"/>
    <tableColumn id="7" xr3:uid="{F806A66E-0C4E-4D0B-A70A-38FC179AB5C1}" uniqueName="7" name="Shares" queryTableFieldId="7"/>
    <tableColumn id="8" xr3:uid="{3CFD57D6-167D-4F9E-8828-42B2F542ED71}" uniqueName="8" name="Comments" queryTableFieldId="8"/>
    <tableColumn id="9" xr3:uid="{541DC35F-61E0-424E-892C-C4BB7F6A2B0E}" uniqueName="9" name="Impressions" queryTableFieldId="9"/>
    <tableColumn id="10" xr3:uid="{98012AE2-DA37-423E-95B1-FD97FA576621}" uniqueName="10" name="Reach" queryTableFieldId="10"/>
    <tableColumn id="11" xr3:uid="{AF86F574-A76D-4F9F-A738-5E7E2F2BD240}" uniqueName="11" name="Clicks" queryTableFieldId="11"/>
    <tableColumn id="12" xr3:uid="{27D77089-A1F0-4CD6-BD82-8689C21843A7}" uniqueName="12" name="Hashtags Used.1" queryTableFieldId="12" dataDxfId="249"/>
    <tableColumn id="13" xr3:uid="{B537134F-AD01-48BC-829E-9E683A54092D}" uniqueName="13" name="Hashtags Used.2" queryTableFieldId="13" dataDxfId="248"/>
    <tableColumn id="14" xr3:uid="{81EF3D0A-22AC-4379-B6ED-FC65CC0DF258}" uniqueName="14" name="Campaign_Name" queryTableFieldId="14" dataDxfId="247"/>
    <tableColumn id="15" xr3:uid="{AE147630-98CB-4146-9531-728DACF47B5E}" uniqueName="15" name="ENGAGEMENT RATE" queryTableFieldId="15" dataDxfId="246">
      <calculatedColumnFormula>(F2+G2+H2)/I2</calculatedColumnFormula>
    </tableColumn>
    <tableColumn id="16" xr3:uid="{97D27E96-F4DC-40EB-BE42-9995EE749AD6}" uniqueName="16" name="Start_Date" queryTableFieldId="16" dataDxfId="245">
      <calculatedColumnFormula>(_xlfn.XLOOKUP(Table1__3[[#This Row],[Campaign_Name]],Table3[Campaign_Name],Table3[Start_Date]))</calculatedColumnFormula>
    </tableColumn>
    <tableColumn id="17" xr3:uid="{DC40BB68-610E-4C30-B2EF-39F956FB133C}" uniqueName="17" name="End_Date" queryTableFieldId="17" dataDxfId="244">
      <calculatedColumnFormula>(_xlfn.XLOOKUP(Table1__3[[#This Row],[Campaign_Name]],Table3[Campaign_Name],Table3[End_Date]))</calculatedColumnFormula>
    </tableColumn>
    <tableColumn id="18" xr3:uid="{A19BDE70-78D6-4010-978E-A3084BEF7158}" uniqueName="18" name="status of cmpign" queryTableFieldId="18" dataDxfId="243">
      <calculatedColumnFormula>IF(Table1__3[[#This Row],[Date]] &lt; Table1__3[[#This Row],[Start_Date]], "Before",
   IF(AND(Table1__3[[#This Row],[Date]] &gt;= Table1__3[[#This Row],[Start_Date]], Table1__3[[#This Row],[Date]] &lt;= Table1__3[[#This Row],[End_Date]]), "During",
   "After"))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51D82C-D443-4C39-86AF-507DC4E36E99}" name="Table2" displayName="Table2" ref="A1:K201" totalsRowShown="0" headerRowDxfId="240" dataDxfId="239">
  <autoFilter ref="A1:K201" xr:uid="{E851D82C-D443-4C39-86AF-507DC4E36E99}"/>
  <tableColumns count="11">
    <tableColumn id="1" xr3:uid="{FAE96B05-C3BA-4C1B-A331-18B78D0B5E67}" name="Week_Start_Date" dataDxfId="238"/>
    <tableColumn id="2" xr3:uid="{41A46733-D6B1-4218-B075-7321E95ED549}" name="Platform" dataDxfId="237"/>
    <tableColumn id="3" xr3:uid="{305F10E9-F6EB-45D9-A4A6-B23786F21CF3}" name="New_Followers" dataDxfId="236"/>
    <tableColumn id="4" xr3:uid="{1EA5BA98-D5ED-46B2-AD22-C554B714B859}" name="Unfollows" dataDxfId="235"/>
    <tableColumn id="12" xr3:uid="{69B06931-A848-442B-8D41-946F9F4DED3A}" name="net followers grth" dataDxfId="234">
      <calculatedColumnFormula>Table2[[#This Row],[New_Followers]]-Table2[[#This Row],[Unfollows]]</calculatedColumnFormula>
    </tableColumn>
    <tableColumn id="5" xr3:uid="{83EC3A59-48DF-4BE7-A3C5-0EC61C0362B1}" name="Total_Followers" dataDxfId="233"/>
    <tableColumn id="6" xr3:uid="{14253085-ED90-47D4-A8B2-4FBA56660BDF}" name="Engagement_Rate" dataDxfId="232"/>
    <tableColumn id="7" xr3:uid="{810E9F58-9376-444A-A045-F5952A207376}" name="Ad_Spend" dataDxfId="231"/>
    <tableColumn id="8" xr3:uid="{08F14E05-6F18-4D1B-A427-337498C2F3D1}" name="Weekly groth rate" dataDxfId="230"/>
    <tableColumn id="9" xr3:uid="{39D4A6EE-FA2A-431E-B0CF-5CF5E2BAD184}" name="campign name" dataDxfId="229">
      <calculatedColumnFormula array="1">IFERROR(INDEX(Table3[[#All],[Campaign_Name]],MATCH(1,(Table2[[#This Row],[Week_Start_Date]]&gt;=Table3[[#All],[Start_Date]])*(Table2[[#This Row],[Week_Start_Date]]&lt;=Table3[[#All],[End_Date]]),0)),"No Campign")</calculatedColumnFormula>
    </tableColumn>
    <tableColumn id="11" xr3:uid="{857C802E-D637-4404-B873-95312E49DD3A}" name="ROI" dataDxfId="228">
      <calculatedColumnFormula>Table2[[#This Row],[Engagement_Rate]]/Table2[[#This Row],[Ad_Spend]]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17730A-EE5F-4147-A1B7-F0A0EF90812B}" name="Table3" displayName="Table3" ref="A1:G5" totalsRowShown="0" headerRowDxfId="227" dataDxfId="225" headerRowBorderDxfId="226" tableBorderDxfId="224">
  <autoFilter ref="A1:G5" xr:uid="{8917730A-EE5F-4147-A1B7-F0A0EF90812B}"/>
  <tableColumns count="7">
    <tableColumn id="1" xr3:uid="{47A3F0AB-5F36-4FAC-BE62-DC236D33BE8D}" name="Campaign_Name" dataDxfId="223"/>
    <tableColumn id="2" xr3:uid="{B977EE3D-07EC-4D08-8F8D-D1CCA08BD86B}" name="Start_Date" dataDxfId="222"/>
    <tableColumn id="3" xr3:uid="{7CAE1FF0-4A7E-4705-A9C0-EAD1C013162C}" name="End_Date" dataDxfId="221"/>
    <tableColumn id="4" xr3:uid="{F4A5AC84-1AF5-4561-9052-3E28E06A7D9E}" name="Objective" dataDxfId="220"/>
    <tableColumn id="5" xr3:uid="{EA5201A3-7C68-4235-8C9D-5B851D770E35}" name="Total_Budget" dataDxfId="219"/>
    <tableColumn id="6" xr3:uid="{5A190F10-B2D8-4836-B378-F871EAE25B53}" name="Target_Platforms" dataDxfId="218"/>
    <tableColumn id="7" xr3:uid="{26A337C1-53B9-454D-89B9-CD84D9AD2D37}" name="Primary_Hashtags" dataDxfId="2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737625-3BAF-47B9-B2C8-82FEB971BC2F}" name="Table1__4" displayName="Table1__4" ref="A1:O301" totalsRowShown="0" dataDxfId="216">
  <autoFilter ref="A1:O301" xr:uid="{25737625-3BAF-47B9-B2C8-82FEB971BC2F}"/>
  <tableColumns count="15">
    <tableColumn id="1" xr3:uid="{B623BC46-81D9-41C3-9F0A-0922AF0B32AD}" name="Post ID" dataDxfId="215"/>
    <tableColumn id="2" xr3:uid="{07587E7E-A187-44B5-825D-9F8A7179A4DD}" name="Platform" dataDxfId="214"/>
    <tableColumn id="3" xr3:uid="{D3181548-8D9D-4ACF-8DD9-A7F0215CCA6A}" name="Column1" dataDxfId="213"/>
    <tableColumn id="4" xr3:uid="{A75E72D6-5F16-4D3F-95A7-3E9FC77A43FC}" name="Content Type" dataDxfId="212"/>
    <tableColumn id="5" xr3:uid="{AD726FAE-FA1E-4A38-89EB-B94012A735F2}" name="Post Text" dataDxfId="211"/>
    <tableColumn id="6" xr3:uid="{B6ABCF41-ADE2-4D6E-A6D7-56EB326640C6}" name="Likess" dataDxfId="210"/>
    <tableColumn id="7" xr3:uid="{8265D227-4A2C-46F0-922D-A074AD070B12}" name="Sharess" dataDxfId="209"/>
    <tableColumn id="8" xr3:uid="{8C0BE592-759D-4D45-99CD-EC83FCFE034A}" name="Commentss" dataDxfId="208"/>
    <tableColumn id="9" xr3:uid="{89F9AB86-1A74-4137-9F46-BEBB35645F97}" name="Impressions" dataDxfId="207"/>
    <tableColumn id="10" xr3:uid="{4703638A-2FF0-475D-9A93-D5FB3002011D}" name="Reach" dataDxfId="206"/>
    <tableColumn id="11" xr3:uid="{AF6CAFF3-E39B-4D05-A0CB-FC121001027D}" name="Clicks" dataDxfId="205"/>
    <tableColumn id="12" xr3:uid="{794385D6-FAEB-4612-93B0-82F135BEE399}" name="Hashtags Used.1" dataDxfId="204"/>
    <tableColumn id="13" xr3:uid="{E64F225F-23B8-4003-B07E-D96D3E928F26}" name="Hashtags Used.2" dataDxfId="203"/>
    <tableColumn id="14" xr3:uid="{E8E90B96-CAA6-4A9D-9A22-BBFD7F2A57FD}" name="Campaign_Name" dataDxfId="202"/>
    <tableColumn id="15" xr3:uid="{DCAEA899-76E1-4A84-8EBE-8C45AFCE1EB7}" name="Engagement Rate:" dataDxfId="201">
      <calculatedColumnFormula>(F2+H2+G2)/I2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A17C039-3868-4386-B05E-2277C3E8ECB5}" name="Table10" displayName="Table10" ref="G36:H41" totalsRowShown="0" tableBorderDxfId="171">
  <autoFilter ref="G36:H41" xr:uid="{8A17C039-3868-4386-B05E-2277C3E8ECB5}"/>
  <tableColumns count="2">
    <tableColumn id="1" xr3:uid="{CE12C991-E26B-4E56-BA4F-28CB5DD20B5C}" name="#Hastags" dataDxfId="170"/>
    <tableColumn id="2" xr3:uid="{86CFEA6B-AE18-4FAB-814E-432B3C9DA3F4}" name="Avg Clicks" dataDxfId="169">
      <calculatedColumnFormula array="1">AVERAGE( _xlfn._xlws.FILTER( Table1__3[Clicks], ( (Table1__3[Hashtags Used.1] = G37) + (Table1__3[Hashtags Used.2]= G37) ) &gt; 0 ) )</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D28B8F-86BF-413B-ACBC-C180053FBC0C}" name="Table11" displayName="Table11" ref="M48:O53" totalsRowShown="0">
  <autoFilter ref="M48:O53" xr:uid="{90D28B8F-86BF-413B-ACBC-C180053FBC0C}"/>
  <tableColumns count="3">
    <tableColumn id="1" xr3:uid="{2ED051B5-3713-4E99-AD32-ED4CE07F027F}" name="Rank">
      <calculatedColumnFormula>_xlfn.RANK.EQ(O49, $O$49:$O$53, 0)</calculatedColumnFormula>
    </tableColumn>
    <tableColumn id="2" xr3:uid="{8F1AAE95-E68A-43E7-BEA8-BD95E06A2AAB}" name="Hastags"/>
    <tableColumn id="3" xr3:uid="{B24A9B5B-C110-4F1C-9FD4-9B5F6A01C68B}" name="Avg Reach" dataDxfId="168">
      <calculatedColumnFormula array="1">AVERAGE( _xlfn._xlws.FILTER( Table1__3[Reach], ( (Table1__3[Hashtags Used.1] = TASK2!N49) + (Table1__3[Hashtags Used.2]= TASK2!N49) ) &gt; 0 ) )</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D389DD-3C34-4633-A187-F75B5F49DCC6}" name="Table4" displayName="Table4" ref="F46:G50" totalsRowShown="0" headerRowDxfId="72">
  <autoFilter ref="F46:G50" xr:uid="{30D389DD-3C34-4633-A187-F75B5F49DCC6}"/>
  <tableColumns count="2">
    <tableColumn id="1" xr3:uid="{8641344D-E6FF-45A3-B639-9854E8CC1AE2}" name="Platform" dataDxfId="71"/>
    <tableColumn id="2" xr3:uid="{A0C8BA58-D9E6-4420-9994-40A9F94D516B}" name="Ad_Spend" dataDxfId="70"/>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0F4337-6A8E-44E6-8DF2-B1FABD47D930}" name="Table5" displayName="Table5" ref="P17:R18" totalsRowShown="0" headerRowDxfId="69" dataDxfId="68">
  <autoFilter ref="P17:R18" xr:uid="{4C0F4337-6A8E-44E6-8DF2-B1FABD47D930}"/>
  <tableColumns count="3">
    <tableColumn id="1" xr3:uid="{6FC185F7-EF17-4356-A1EC-0A623DA66A12}" name="Instagram" dataDxfId="67">
      <calculatedColumnFormula>AVERAGEIF('Engagement Summary'!B:B, "Instagram",Table2[Weekly groth rate] )</calculatedColumnFormula>
    </tableColumn>
    <tableColumn id="2" xr3:uid="{372A2C04-AEE9-49A9-BD53-FAAF6F94EE33}" name="Twitter" dataDxfId="66">
      <calculatedColumnFormula>AVERAGEIF('Engagement Summary'!B:B, "TWITTER",Table2[Weekly groth rate] )</calculatedColumnFormula>
    </tableColumn>
    <tableColumn id="3" xr3:uid="{891A21E6-FB1A-4DAE-BCC8-EA4F6CA2468F}" name="YouTube" dataDxfId="65">
      <calculatedColumnFormula>AVERAGEIF('Engagement Summary'!B:B, "yOUTUBE",Table2[Weekly groth rate] )</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7F85FF-1A4D-450B-B28F-CFFB90845EF6}" name="Table9" displayName="Table9" ref="D6:F11" headerRowDxfId="53" dataDxfId="52">
  <autoFilter ref="D6:F11" xr:uid="{4F7F85FF-1A4D-450B-B28F-CFFB90845EF6}"/>
  <sortState xmlns:xlrd2="http://schemas.microsoft.com/office/spreadsheetml/2017/richdata2" ref="D7:E11">
    <sortCondition descending="1" ref="E6:E11"/>
  </sortState>
  <tableColumns count="3">
    <tableColumn id="1" xr3:uid="{EB7E0B31-72D3-4EEA-845E-D1879006895A}" name="All Hastags " totalsRowLabel="Total" dataDxfId="51"/>
    <tableColumn id="2" xr3:uid="{6E728868-EED1-4C32-B1DC-8EB4066CF9BA}" name="# Usage Count" totalsRowFunction="sum" dataDxfId="50">
      <calculatedColumnFormula>COUNTIF(Table1__3[[Hashtags Used.1]:[Hashtags Used.2]],D7)</calculatedColumnFormula>
    </tableColumn>
    <tableColumn id="3" xr3:uid="{9653FE2B-8DE9-48A6-84FB-F5198FEA41AE}" name="Engagement Rate Avg" dataDxfId="49">
      <calculatedColumnFormula array="1">AVERAGE(_xlfn._xlws.FILTER(Posts!O:O,(Posts!L:L=Table9[[#This Row],[All Hastags ]])+(Posts!M:M=Table9[[#This Row],[All Hastags ]])))</calculatedColumnFormula>
    </tableColumn>
  </tableColumns>
  <tableStyleInfo name="TableStyleLight9" showFirstColumn="1"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7E902E-4067-4566-A2CD-6FBED263D71D}" name="Table6" displayName="Table6" ref="D29:E33" totalsRowShown="0" headerRowDxfId="5">
  <autoFilter ref="D29:E33" xr:uid="{977E902E-4067-4566-A2CD-6FBED263D71D}"/>
  <tableColumns count="2">
    <tableColumn id="1" xr3:uid="{2704EC70-9029-4224-81AD-303C9BCA70CE}" name="Hastags" dataDxfId="4"/>
    <tableColumn id="2" xr3:uid="{653F04CD-2D6B-46B2-BF50-D79F254471A8}" name="uplift" dataDxfId="3" dataCellStyle="Per cent"/>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9079F-841E-42F6-80B9-3DA44950ED85}" name="Table1" displayName="Table1" ref="C1:D201" totalsRowShown="0" dataDxfId="2">
  <autoFilter ref="C1:D201" xr:uid="{5AB9079F-841E-42F6-80B9-3DA44950ED85}"/>
  <tableColumns count="2">
    <tableColumn id="2" xr3:uid="{3B43F5B5-FBC7-4AA2-AFED-4A5E070A0A09}" name="Ad_Spend" dataDxfId="1"/>
    <tableColumn id="3" xr3:uid="{9206D987-CE19-4A7F-A152-1AD9880A96AA}" name="net followers grth" dataDxfId="0">
      <calculatedColumnFormula>Table2[[#This Row],[New_Followers]]-Table2[[#This Row],[Unfollows]]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Week_Start_Date1" xr10:uid="{694F8324-B60B-44E6-8F16-1D4B1DBBE308}" sourceName="Week_Start_Date">
  <pivotTables>
    <pivotTable tabId="12" name="PivotTable14"/>
    <pivotTable tabId="4" name="2"/>
  </pivotTables>
  <state minimalRefreshVersion="6" lastRefreshVersion="6" pivotCacheId="18951023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4" xr10:uid="{6AC5B63F-EF14-4702-98F6-D2C4E76E1741}" cache="NativeTimeline_Week_Start_Date1" caption="" level="2" selectionLevel="2" scrollPosition="2024-01-01T00:00:00" style="TimeSlicerStyleLight3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3" xr10:uid="{FDEC9DF4-895A-47D7-A57C-71934415BD7E}" cache="NativeTimeline_Week_Start_Date1" caption="Week_Start_Date" level="2" selectionLevel="2" scrollPosition="2024-12-02T00:00:00" style="TimeSlicerStyleLight3 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ivotTable" Target="../pivotTables/pivotTable6.xml"/><Relationship Id="rId7"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5.bin"/><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table" Target="../tables/table10.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7.xml"/><Relationship Id="rId5" Type="http://schemas.openxmlformats.org/officeDocument/2006/relationships/printerSettings" Target="../printerSettings/printerSettings6.bin"/><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11/relationships/timeline" Target="../timelines/timeline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bin"/><Relationship Id="rId7" Type="http://schemas.microsoft.com/office/2011/relationships/timeline" Target="../timelines/timeline2.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3.xml"/><Relationship Id="rId5" Type="http://schemas.microsoft.com/office/2007/relationships/slicer" Target="../slicers/slicer2.xm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7583-07EA-48C0-92C1-B8465221B268}">
  <sheetPr codeName="Sheet5"/>
  <dimension ref="A1:T307"/>
  <sheetViews>
    <sheetView zoomScale="90" zoomScaleNormal="90" workbookViewId="0">
      <selection activeCell="R2" sqref="R2"/>
    </sheetView>
  </sheetViews>
  <sheetFormatPr defaultRowHeight="15"/>
  <cols>
    <col min="1" max="1" width="9.42578125" bestFit="1" customWidth="1"/>
    <col min="2" max="2" width="11" bestFit="1" customWidth="1"/>
    <col min="3" max="3" width="21.7109375" style="92" customWidth="1"/>
    <col min="4" max="4" width="15.140625" bestFit="1" customWidth="1"/>
    <col min="5" max="5" width="41.28515625"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3" width="18.5703125" bestFit="1" customWidth="1"/>
    <col min="14" max="14" width="18.42578125" bestFit="1" customWidth="1"/>
    <col min="15" max="15" width="21.28515625" bestFit="1" customWidth="1"/>
    <col min="16" max="17" width="21.28515625" style="92" customWidth="1"/>
    <col min="18" max="18" width="16.85546875" customWidth="1"/>
  </cols>
  <sheetData>
    <row r="1" spans="1:20">
      <c r="A1" s="31" t="s">
        <v>0</v>
      </c>
      <c r="B1" t="s">
        <v>1</v>
      </c>
      <c r="C1" s="92" t="s">
        <v>2</v>
      </c>
      <c r="D1" t="s">
        <v>3</v>
      </c>
      <c r="E1" t="s">
        <v>4</v>
      </c>
      <c r="F1" t="s">
        <v>5</v>
      </c>
      <c r="G1" t="s">
        <v>6</v>
      </c>
      <c r="H1" t="s">
        <v>7</v>
      </c>
      <c r="I1" t="s">
        <v>8</v>
      </c>
      <c r="J1" t="s">
        <v>9</v>
      </c>
      <c r="K1" t="s">
        <v>10</v>
      </c>
      <c r="L1" t="s">
        <v>361</v>
      </c>
      <c r="M1" t="s">
        <v>362</v>
      </c>
      <c r="N1" t="s">
        <v>11</v>
      </c>
      <c r="O1" s="31" t="s">
        <v>385</v>
      </c>
      <c r="P1" s="93" t="s">
        <v>341</v>
      </c>
      <c r="Q1" s="93" t="s">
        <v>342</v>
      </c>
      <c r="R1" s="91" t="s">
        <v>418</v>
      </c>
      <c r="S1" s="31"/>
      <c r="T1" s="31"/>
    </row>
    <row r="2" spans="1:20">
      <c r="A2" s="4" t="s">
        <v>12</v>
      </c>
      <c r="B2" s="4" t="s">
        <v>13</v>
      </c>
      <c r="C2" s="92">
        <v>45781</v>
      </c>
      <c r="D2" s="4" t="s">
        <v>14</v>
      </c>
      <c r="E2" s="4" t="s">
        <v>15</v>
      </c>
      <c r="F2">
        <v>2414</v>
      </c>
      <c r="G2">
        <v>245</v>
      </c>
      <c r="H2">
        <v>137</v>
      </c>
      <c r="I2">
        <v>21181</v>
      </c>
      <c r="J2">
        <v>45292</v>
      </c>
      <c r="K2">
        <v>133</v>
      </c>
      <c r="L2" s="4" t="s">
        <v>40</v>
      </c>
      <c r="M2" s="4" t="s">
        <v>37</v>
      </c>
      <c r="N2" s="4" t="s">
        <v>16</v>
      </c>
      <c r="O2" s="33">
        <f t="shared" ref="O2:O65" si="0">(F2+G2+H2)/I2</f>
        <v>0.13200509890939993</v>
      </c>
      <c r="P2" s="92">
        <f>(_xlfn.XLOOKUP(Table1__3[[#This Row],[Campaign_Name]],Table3[Campaign_Name],Table3[Start_Date]))</f>
        <v>45667</v>
      </c>
      <c r="Q2" s="92">
        <f>(_xlfn.XLOOKUP(Table1__3[[#This Row],[Campaign_Name]],Table3[Campaign_Name],Table3[End_Date]))</f>
        <v>45698</v>
      </c>
      <c r="R2" s="4" t="str">
        <f>IF(Table1__3[[#This Row],[Date]] &lt; Table1__3[[#This Row],[Start_Date]], "Before",
   IF(AND(Table1__3[[#This Row],[Date]] &gt;= Table1__3[[#This Row],[Start_Date]], Table1__3[[#This Row],[Date]] &lt;= Table1__3[[#This Row],[End_Date]]), "During",
   "After"))</f>
        <v>After</v>
      </c>
      <c r="S2" s="31"/>
      <c r="T2" s="31"/>
    </row>
    <row r="3" spans="1:20">
      <c r="A3" s="4" t="s">
        <v>17</v>
      </c>
      <c r="B3" s="4" t="s">
        <v>13</v>
      </c>
      <c r="C3" s="92">
        <v>45689</v>
      </c>
      <c r="D3" s="4" t="s">
        <v>14</v>
      </c>
      <c r="E3" s="4" t="s">
        <v>18</v>
      </c>
      <c r="F3">
        <v>1934</v>
      </c>
      <c r="G3">
        <v>210</v>
      </c>
      <c r="H3">
        <v>393</v>
      </c>
      <c r="I3">
        <v>29129</v>
      </c>
      <c r="J3">
        <v>73287</v>
      </c>
      <c r="K3">
        <v>273</v>
      </c>
      <c r="L3" s="4" t="s">
        <v>19</v>
      </c>
      <c r="M3" s="4"/>
      <c r="N3" s="4" t="s">
        <v>20</v>
      </c>
      <c r="O3" s="33">
        <f t="shared" si="0"/>
        <v>8.7095334546328396E-2</v>
      </c>
      <c r="P3" s="92">
        <f>(_xlfn.XLOOKUP(Table1__3[[#This Row],[Campaign_Name]],Table3[Campaign_Name],Table3[Start_Date]))</f>
        <v>45717</v>
      </c>
      <c r="Q3" s="92">
        <f>(_xlfn.XLOOKUP(Table1__3[[#This Row],[Campaign_Name]],Table3[Campaign_Name],Table3[End_Date]))</f>
        <v>45747</v>
      </c>
      <c r="R3" s="4" t="str">
        <f>IF(Table1__3[[#This Row],[Date]] &lt; Table1__3[[#This Row],[Start_Date]], "Before",
   IF(AND(Table1__3[[#This Row],[Date]] &gt;= Table1__3[[#This Row],[Start_Date]], Table1__3[[#This Row],[Date]] &lt;= Table1__3[[#This Row],[End_Date]]), "During",
   "After"))</f>
        <v>Before</v>
      </c>
      <c r="S3" s="31"/>
      <c r="T3" s="31"/>
    </row>
    <row r="4" spans="1:20">
      <c r="A4" s="4" t="s">
        <v>21</v>
      </c>
      <c r="B4" s="4" t="s">
        <v>22</v>
      </c>
      <c r="C4" s="92">
        <v>45629</v>
      </c>
      <c r="D4" s="4" t="s">
        <v>23</v>
      </c>
      <c r="E4" s="4" t="s">
        <v>24</v>
      </c>
      <c r="F4">
        <v>3092</v>
      </c>
      <c r="G4">
        <v>177</v>
      </c>
      <c r="H4">
        <v>81</v>
      </c>
      <c r="I4">
        <v>47533</v>
      </c>
      <c r="J4">
        <v>29220</v>
      </c>
      <c r="K4">
        <v>121</v>
      </c>
      <c r="L4" s="4" t="s">
        <v>363</v>
      </c>
      <c r="M4" s="4" t="s">
        <v>37</v>
      </c>
      <c r="N4" s="4" t="s">
        <v>16</v>
      </c>
      <c r="O4" s="33">
        <f t="shared" si="0"/>
        <v>7.0477352576105018E-2</v>
      </c>
      <c r="P4" s="92">
        <f>(_xlfn.XLOOKUP(Table1__3[[#This Row],[Campaign_Name]],Table3[Campaign_Name],Table3[Start_Date]))</f>
        <v>45667</v>
      </c>
      <c r="Q4" s="92">
        <f>(_xlfn.XLOOKUP(Table1__3[[#This Row],[Campaign_Name]],Table3[Campaign_Name],Table3[End_Date]))</f>
        <v>45698</v>
      </c>
      <c r="R4" s="4" t="str">
        <f>IF(Table1__3[[#This Row],[Date]] &lt; Table1__3[[#This Row],[Start_Date]], "Before",
   IF(AND(Table1__3[[#This Row],[Date]] &gt;= Table1__3[[#This Row],[Start_Date]], Table1__3[[#This Row],[Date]] &lt;= Table1__3[[#This Row],[End_Date]]), "During",
   "After"))</f>
        <v>Before</v>
      </c>
      <c r="S4" s="31"/>
      <c r="T4" s="31"/>
    </row>
    <row r="5" spans="1:20">
      <c r="A5" s="4" t="s">
        <v>25</v>
      </c>
      <c r="B5" s="4" t="s">
        <v>13</v>
      </c>
      <c r="C5" s="92">
        <v>45629</v>
      </c>
      <c r="D5" s="4" t="s">
        <v>14</v>
      </c>
      <c r="E5" s="4" t="s">
        <v>26</v>
      </c>
      <c r="F5">
        <v>3173</v>
      </c>
      <c r="G5">
        <v>229</v>
      </c>
      <c r="H5">
        <v>197</v>
      </c>
      <c r="I5">
        <v>29604</v>
      </c>
      <c r="J5">
        <v>21809</v>
      </c>
      <c r="K5">
        <v>272</v>
      </c>
      <c r="L5" s="4" t="s">
        <v>40</v>
      </c>
      <c r="M5" s="4" t="s">
        <v>37</v>
      </c>
      <c r="N5" s="4" t="s">
        <v>16</v>
      </c>
      <c r="O5" s="33">
        <f t="shared" si="0"/>
        <v>0.1215714092690177</v>
      </c>
      <c r="P5" s="92">
        <f>(_xlfn.XLOOKUP(Table1__3[[#This Row],[Campaign_Name]],Table3[Campaign_Name],Table3[Start_Date]))</f>
        <v>45667</v>
      </c>
      <c r="Q5" s="92">
        <f>(_xlfn.XLOOKUP(Table1__3[[#This Row],[Campaign_Name]],Table3[Campaign_Name],Table3[End_Date]))</f>
        <v>45698</v>
      </c>
      <c r="R5" s="4" t="str">
        <f>IF(Table1__3[[#This Row],[Date]] &lt; Table1__3[[#This Row],[Start_Date]], "Before",
   IF(AND(Table1__3[[#This Row],[Date]] &gt;= Table1__3[[#This Row],[Start_Date]], Table1__3[[#This Row],[Date]] &lt;= Table1__3[[#This Row],[End_Date]]), "During",
   "After"))</f>
        <v>Before</v>
      </c>
      <c r="S5" s="31"/>
      <c r="T5" s="31"/>
    </row>
    <row r="6" spans="1:20">
      <c r="A6" s="4" t="s">
        <v>27</v>
      </c>
      <c r="B6" s="4" t="s">
        <v>28</v>
      </c>
      <c r="C6" s="92">
        <v>45388</v>
      </c>
      <c r="D6" s="4" t="s">
        <v>14</v>
      </c>
      <c r="E6" s="4" t="s">
        <v>29</v>
      </c>
      <c r="F6">
        <v>2748</v>
      </c>
      <c r="G6">
        <v>145</v>
      </c>
      <c r="H6">
        <v>315</v>
      </c>
      <c r="I6">
        <v>24401</v>
      </c>
      <c r="J6">
        <v>61182</v>
      </c>
      <c r="K6">
        <v>200</v>
      </c>
      <c r="L6" s="4" t="s">
        <v>19</v>
      </c>
      <c r="M6" s="4" t="s">
        <v>364</v>
      </c>
      <c r="N6" s="4" t="s">
        <v>20</v>
      </c>
      <c r="O6" s="33">
        <f t="shared" si="0"/>
        <v>0.1314700217204213</v>
      </c>
      <c r="P6" s="92">
        <f>(_xlfn.XLOOKUP(Table1__3[[#This Row],[Campaign_Name]],Table3[Campaign_Name],Table3[Start_Date]))</f>
        <v>45717</v>
      </c>
      <c r="Q6" s="92">
        <f>(_xlfn.XLOOKUP(Table1__3[[#This Row],[Campaign_Name]],Table3[Campaign_Name],Table3[End_Date]))</f>
        <v>45747</v>
      </c>
      <c r="R6" s="4" t="str">
        <f>IF(Table1__3[[#This Row],[Date]] &lt; Table1__3[[#This Row],[Start_Date]], "Before",
   IF(AND(Table1__3[[#This Row],[Date]] &gt;= Table1__3[[#This Row],[Start_Date]], Table1__3[[#This Row],[Date]] &lt;= Table1__3[[#This Row],[End_Date]]), "During",
   "After"))</f>
        <v>Before</v>
      </c>
      <c r="S6" s="31"/>
      <c r="T6" s="31"/>
    </row>
    <row r="7" spans="1:20">
      <c r="A7" s="4" t="s">
        <v>30</v>
      </c>
      <c r="B7" s="4" t="s">
        <v>28</v>
      </c>
      <c r="C7" s="92">
        <v>45456</v>
      </c>
      <c r="D7" s="4" t="s">
        <v>14</v>
      </c>
      <c r="E7" s="4" t="s">
        <v>31</v>
      </c>
      <c r="F7">
        <v>3882</v>
      </c>
      <c r="G7">
        <v>239</v>
      </c>
      <c r="H7">
        <v>275</v>
      </c>
      <c r="I7">
        <v>58748</v>
      </c>
      <c r="J7">
        <v>44646</v>
      </c>
      <c r="K7">
        <v>149</v>
      </c>
      <c r="L7" s="4" t="s">
        <v>19</v>
      </c>
      <c r="M7" s="4" t="s">
        <v>364</v>
      </c>
      <c r="N7" s="4" t="s">
        <v>20</v>
      </c>
      <c r="O7" s="33">
        <f t="shared" si="0"/>
        <v>7.4828079253761837E-2</v>
      </c>
      <c r="P7" s="92">
        <f>(_xlfn.XLOOKUP(Table1__3[[#This Row],[Campaign_Name]],Table3[Campaign_Name],Table3[Start_Date]))</f>
        <v>45717</v>
      </c>
      <c r="Q7" s="92">
        <f>(_xlfn.XLOOKUP(Table1__3[[#This Row],[Campaign_Name]],Table3[Campaign_Name],Table3[End_Date]))</f>
        <v>45747</v>
      </c>
      <c r="R7" s="4" t="str">
        <f>IF(Table1__3[[#This Row],[Date]] &lt; Table1__3[[#This Row],[Start_Date]], "Before",
   IF(AND(Table1__3[[#This Row],[Date]] &gt;= Table1__3[[#This Row],[Start_Date]], Table1__3[[#This Row],[Date]] &lt;= Table1__3[[#This Row],[End_Date]]), "During",
   "After"))</f>
        <v>Before</v>
      </c>
      <c r="S7" s="31"/>
      <c r="T7" s="31"/>
    </row>
    <row r="8" spans="1:20">
      <c r="A8" s="4" t="s">
        <v>32</v>
      </c>
      <c r="B8" s="4" t="s">
        <v>22</v>
      </c>
      <c r="C8" s="92">
        <v>45645</v>
      </c>
      <c r="D8" s="4" t="s">
        <v>23</v>
      </c>
      <c r="E8" s="4" t="s">
        <v>33</v>
      </c>
      <c r="F8">
        <v>4674</v>
      </c>
      <c r="G8">
        <v>409</v>
      </c>
      <c r="H8">
        <v>327</v>
      </c>
      <c r="I8">
        <v>20756</v>
      </c>
      <c r="J8">
        <v>63599</v>
      </c>
      <c r="K8">
        <v>212</v>
      </c>
      <c r="L8" s="4" t="s">
        <v>40</v>
      </c>
      <c r="M8" s="4" t="s">
        <v>37</v>
      </c>
      <c r="N8" s="4" t="s">
        <v>16</v>
      </c>
      <c r="O8" s="33">
        <f t="shared" si="0"/>
        <v>0.26064752360763155</v>
      </c>
      <c r="P8" s="92">
        <f>(_xlfn.XLOOKUP(Table1__3[[#This Row],[Campaign_Name]],Table3[Campaign_Name],Table3[Start_Date]))</f>
        <v>45667</v>
      </c>
      <c r="Q8" s="92">
        <f>(_xlfn.XLOOKUP(Table1__3[[#This Row],[Campaign_Name]],Table3[Campaign_Name],Table3[End_Date]))</f>
        <v>45698</v>
      </c>
      <c r="R8" s="4" t="str">
        <f>IF(Table1__3[[#This Row],[Date]] &lt; Table1__3[[#This Row],[Start_Date]], "Before",
   IF(AND(Table1__3[[#This Row],[Date]] &gt;= Table1__3[[#This Row],[Start_Date]], Table1__3[[#This Row],[Date]] &lt;= Table1__3[[#This Row],[End_Date]]), "During",
   "After"))</f>
        <v>Before</v>
      </c>
      <c r="S8" s="31"/>
      <c r="T8" s="31"/>
    </row>
    <row r="9" spans="1:20">
      <c r="A9" s="4" t="s">
        <v>34</v>
      </c>
      <c r="B9" s="4" t="s">
        <v>22</v>
      </c>
      <c r="C9" s="92">
        <v>45421</v>
      </c>
      <c r="D9" s="4" t="s">
        <v>23</v>
      </c>
      <c r="E9" s="4" t="s">
        <v>26</v>
      </c>
      <c r="F9">
        <v>1428</v>
      </c>
      <c r="G9">
        <v>347</v>
      </c>
      <c r="H9">
        <v>67</v>
      </c>
      <c r="I9">
        <v>21148</v>
      </c>
      <c r="J9">
        <v>19712</v>
      </c>
      <c r="K9">
        <v>120</v>
      </c>
      <c r="L9" s="4" t="s">
        <v>19</v>
      </c>
      <c r="M9" s="4" t="s">
        <v>363</v>
      </c>
      <c r="N9" s="4" t="s">
        <v>16</v>
      </c>
      <c r="O9" s="33">
        <f t="shared" si="0"/>
        <v>8.7100435029317191E-2</v>
      </c>
      <c r="P9" s="92">
        <f>(_xlfn.XLOOKUP(Table1__3[[#This Row],[Campaign_Name]],Table3[Campaign_Name],Table3[Start_Date]))</f>
        <v>45667</v>
      </c>
      <c r="Q9" s="92">
        <f>(_xlfn.XLOOKUP(Table1__3[[#This Row],[Campaign_Name]],Table3[Campaign_Name],Table3[End_Date]))</f>
        <v>45698</v>
      </c>
      <c r="R9" s="4" t="str">
        <f>IF(Table1__3[[#This Row],[Date]] &lt; Table1__3[[#This Row],[Start_Date]], "Before",
   IF(AND(Table1__3[[#This Row],[Date]] &gt;= Table1__3[[#This Row],[Start_Date]], Table1__3[[#This Row],[Date]] &lt;= Table1__3[[#This Row],[End_Date]]), "During",
   "After"))</f>
        <v>Before</v>
      </c>
      <c r="S9" s="31"/>
      <c r="T9" s="31"/>
    </row>
    <row r="10" spans="1:20">
      <c r="A10" s="4" t="s">
        <v>35</v>
      </c>
      <c r="B10" s="4" t="s">
        <v>22</v>
      </c>
      <c r="C10" s="92">
        <v>45823</v>
      </c>
      <c r="D10" s="4" t="s">
        <v>14</v>
      </c>
      <c r="E10" s="4" t="s">
        <v>36</v>
      </c>
      <c r="F10">
        <v>4432</v>
      </c>
      <c r="G10">
        <v>223</v>
      </c>
      <c r="H10">
        <v>299</v>
      </c>
      <c r="I10">
        <v>59016</v>
      </c>
      <c r="J10">
        <v>21742</v>
      </c>
      <c r="K10">
        <v>171</v>
      </c>
      <c r="L10" s="4" t="s">
        <v>37</v>
      </c>
      <c r="M10" s="4"/>
      <c r="N10" s="4" t="s">
        <v>16</v>
      </c>
      <c r="O10" s="33">
        <f t="shared" si="0"/>
        <v>8.3943337400027115E-2</v>
      </c>
      <c r="P10" s="92">
        <f>(_xlfn.XLOOKUP(Table1__3[[#This Row],[Campaign_Name]],Table3[Campaign_Name],Table3[Start_Date]))</f>
        <v>45667</v>
      </c>
      <c r="Q10" s="92">
        <f>(_xlfn.XLOOKUP(Table1__3[[#This Row],[Campaign_Name]],Table3[Campaign_Name],Table3[End_Date]))</f>
        <v>45698</v>
      </c>
      <c r="R10" s="4" t="str">
        <f>IF(Table1__3[[#This Row],[Date]] &lt; Table1__3[[#This Row],[Start_Date]], "Before",
   IF(AND(Table1__3[[#This Row],[Date]] &gt;= Table1__3[[#This Row],[Start_Date]], Table1__3[[#This Row],[Date]] &lt;= Table1__3[[#This Row],[End_Date]]), "During",
   "After"))</f>
        <v>After</v>
      </c>
      <c r="S10" s="31"/>
      <c r="T10" s="31"/>
    </row>
    <row r="11" spans="1:20">
      <c r="A11" s="4" t="s">
        <v>38</v>
      </c>
      <c r="B11" s="4" t="s">
        <v>22</v>
      </c>
      <c r="C11" s="92">
        <v>45630</v>
      </c>
      <c r="D11" s="4" t="s">
        <v>14</v>
      </c>
      <c r="E11" s="4" t="s">
        <v>26</v>
      </c>
      <c r="F11">
        <v>2357</v>
      </c>
      <c r="G11">
        <v>274</v>
      </c>
      <c r="H11">
        <v>172</v>
      </c>
      <c r="I11">
        <v>21566</v>
      </c>
      <c r="J11">
        <v>66829</v>
      </c>
      <c r="K11">
        <v>284</v>
      </c>
      <c r="L11" s="4" t="s">
        <v>37</v>
      </c>
      <c r="M11" s="4"/>
      <c r="N11" s="4" t="s">
        <v>16</v>
      </c>
      <c r="O11" s="33">
        <f t="shared" si="0"/>
        <v>0.12997310581470833</v>
      </c>
      <c r="P11" s="92">
        <f>(_xlfn.XLOOKUP(Table1__3[[#This Row],[Campaign_Name]],Table3[Campaign_Name],Table3[Start_Date]))</f>
        <v>45667</v>
      </c>
      <c r="Q11" s="92">
        <f>(_xlfn.XLOOKUP(Table1__3[[#This Row],[Campaign_Name]],Table3[Campaign_Name],Table3[End_Date]))</f>
        <v>45698</v>
      </c>
      <c r="R11" s="4" t="str">
        <f>IF(Table1__3[[#This Row],[Date]] &lt; Table1__3[[#This Row],[Start_Date]], "Before",
   IF(AND(Table1__3[[#This Row],[Date]] &gt;= Table1__3[[#This Row],[Start_Date]], Table1__3[[#This Row],[Date]] &lt;= Table1__3[[#This Row],[End_Date]]), "During",
   "After"))</f>
        <v>Before</v>
      </c>
      <c r="S11" s="31"/>
      <c r="T11" s="31"/>
    </row>
    <row r="12" spans="1:20">
      <c r="A12" s="4" t="s">
        <v>39</v>
      </c>
      <c r="B12" s="4" t="s">
        <v>22</v>
      </c>
      <c r="C12" s="92">
        <v>45357</v>
      </c>
      <c r="D12" s="4" t="s">
        <v>14</v>
      </c>
      <c r="E12" s="4" t="s">
        <v>15</v>
      </c>
      <c r="F12">
        <v>1971</v>
      </c>
      <c r="G12">
        <v>370</v>
      </c>
      <c r="H12">
        <v>306</v>
      </c>
      <c r="I12">
        <v>31316</v>
      </c>
      <c r="J12">
        <v>27897</v>
      </c>
      <c r="K12">
        <v>88</v>
      </c>
      <c r="L12" s="4" t="s">
        <v>40</v>
      </c>
      <c r="M12" s="4"/>
      <c r="N12" s="4" t="s">
        <v>20</v>
      </c>
      <c r="O12" s="33">
        <f t="shared" si="0"/>
        <v>8.4525482181632389E-2</v>
      </c>
      <c r="P12" s="92">
        <f>(_xlfn.XLOOKUP(Table1__3[[#This Row],[Campaign_Name]],Table3[Campaign_Name],Table3[Start_Date]))</f>
        <v>45717</v>
      </c>
      <c r="Q12" s="92">
        <f>(_xlfn.XLOOKUP(Table1__3[[#This Row],[Campaign_Name]],Table3[Campaign_Name],Table3[End_Date]))</f>
        <v>45747</v>
      </c>
      <c r="R12" s="4" t="str">
        <f>IF(Table1__3[[#This Row],[Date]] &lt; Table1__3[[#This Row],[Start_Date]], "Before",
   IF(AND(Table1__3[[#This Row],[Date]] &gt;= Table1__3[[#This Row],[Start_Date]], Table1__3[[#This Row],[Date]] &lt;= Table1__3[[#This Row],[End_Date]]), "During",
   "After"))</f>
        <v>Before</v>
      </c>
      <c r="S12" s="31"/>
      <c r="T12" s="31"/>
    </row>
    <row r="13" spans="1:20">
      <c r="A13" s="4" t="s">
        <v>41</v>
      </c>
      <c r="B13" s="4" t="s">
        <v>13</v>
      </c>
      <c r="C13" s="92">
        <v>45426</v>
      </c>
      <c r="D13" s="4" t="s">
        <v>14</v>
      </c>
      <c r="E13" s="4" t="s">
        <v>15</v>
      </c>
      <c r="F13">
        <v>1485</v>
      </c>
      <c r="G13">
        <v>353</v>
      </c>
      <c r="H13">
        <v>244</v>
      </c>
      <c r="I13">
        <v>38419</v>
      </c>
      <c r="J13">
        <v>38556</v>
      </c>
      <c r="K13">
        <v>86</v>
      </c>
      <c r="L13" s="4" t="s">
        <v>40</v>
      </c>
      <c r="M13" s="4" t="s">
        <v>37</v>
      </c>
      <c r="N13" s="4" t="s">
        <v>16</v>
      </c>
      <c r="O13" s="33">
        <f t="shared" si="0"/>
        <v>5.4191936281527367E-2</v>
      </c>
      <c r="P13" s="92">
        <f>(_xlfn.XLOOKUP(Table1__3[[#This Row],[Campaign_Name]],Table3[Campaign_Name],Table3[Start_Date]))</f>
        <v>45667</v>
      </c>
      <c r="Q13" s="92">
        <f>(_xlfn.XLOOKUP(Table1__3[[#This Row],[Campaign_Name]],Table3[Campaign_Name],Table3[End_Date]))</f>
        <v>45698</v>
      </c>
      <c r="R13" s="4" t="str">
        <f>IF(Table1__3[[#This Row],[Date]] &lt; Table1__3[[#This Row],[Start_Date]], "Before",
   IF(AND(Table1__3[[#This Row],[Date]] &gt;= Table1__3[[#This Row],[Start_Date]], Table1__3[[#This Row],[Date]] &lt;= Table1__3[[#This Row],[End_Date]]), "During",
   "After"))</f>
        <v>Before</v>
      </c>
      <c r="S13" s="31"/>
      <c r="T13" s="31"/>
    </row>
    <row r="14" spans="1:20">
      <c r="A14" s="4" t="s">
        <v>42</v>
      </c>
      <c r="B14" s="4" t="s">
        <v>22</v>
      </c>
      <c r="C14" s="92">
        <v>45826</v>
      </c>
      <c r="D14" s="4" t="s">
        <v>23</v>
      </c>
      <c r="E14" s="4" t="s">
        <v>15</v>
      </c>
      <c r="F14">
        <v>3956</v>
      </c>
      <c r="G14">
        <v>319</v>
      </c>
      <c r="H14">
        <v>61</v>
      </c>
      <c r="I14">
        <v>58162</v>
      </c>
      <c r="J14">
        <v>28720</v>
      </c>
      <c r="K14">
        <v>213</v>
      </c>
      <c r="L14" s="4" t="s">
        <v>363</v>
      </c>
      <c r="M14" s="4" t="s">
        <v>37</v>
      </c>
      <c r="N14" s="4" t="s">
        <v>16</v>
      </c>
      <c r="O14" s="33">
        <f t="shared" si="0"/>
        <v>7.4550393727863554E-2</v>
      </c>
      <c r="P14" s="92">
        <f>(_xlfn.XLOOKUP(Table1__3[[#This Row],[Campaign_Name]],Table3[Campaign_Name],Table3[Start_Date]))</f>
        <v>45667</v>
      </c>
      <c r="Q14" s="92">
        <f>(_xlfn.XLOOKUP(Table1__3[[#This Row],[Campaign_Name]],Table3[Campaign_Name],Table3[End_Date]))</f>
        <v>45698</v>
      </c>
      <c r="R14" s="4" t="str">
        <f>IF(Table1__3[[#This Row],[Date]] &lt; Table1__3[[#This Row],[Start_Date]], "Before",
   IF(AND(Table1__3[[#This Row],[Date]] &gt;= Table1__3[[#This Row],[Start_Date]], Table1__3[[#This Row],[Date]] &lt;= Table1__3[[#This Row],[End_Date]]), "During",
   "After"))</f>
        <v>After</v>
      </c>
      <c r="S14" s="31"/>
      <c r="T14" s="31"/>
    </row>
    <row r="15" spans="1:20">
      <c r="A15" s="4" t="s">
        <v>43</v>
      </c>
      <c r="B15" s="4" t="s">
        <v>22</v>
      </c>
      <c r="C15" s="92">
        <v>45573</v>
      </c>
      <c r="D15" s="4" t="s">
        <v>14</v>
      </c>
      <c r="E15" s="4" t="s">
        <v>44</v>
      </c>
      <c r="F15">
        <v>2460</v>
      </c>
      <c r="G15">
        <v>409</v>
      </c>
      <c r="H15">
        <v>253</v>
      </c>
      <c r="I15">
        <v>36702</v>
      </c>
      <c r="J15">
        <v>46122</v>
      </c>
      <c r="K15">
        <v>264</v>
      </c>
      <c r="L15" s="4" t="s">
        <v>37</v>
      </c>
      <c r="M15" s="4"/>
      <c r="N15" s="4" t="s">
        <v>16</v>
      </c>
      <c r="O15" s="33">
        <f t="shared" si="0"/>
        <v>8.5063484278785892E-2</v>
      </c>
      <c r="P15" s="92">
        <f>(_xlfn.XLOOKUP(Table1__3[[#This Row],[Campaign_Name]],Table3[Campaign_Name],Table3[Start_Date]))</f>
        <v>45667</v>
      </c>
      <c r="Q15" s="92">
        <f>(_xlfn.XLOOKUP(Table1__3[[#This Row],[Campaign_Name]],Table3[Campaign_Name],Table3[End_Date]))</f>
        <v>45698</v>
      </c>
      <c r="R15" s="4" t="str">
        <f>IF(Table1__3[[#This Row],[Date]] &lt; Table1__3[[#This Row],[Start_Date]], "Before",
   IF(AND(Table1__3[[#This Row],[Date]] &gt;= Table1__3[[#This Row],[Start_Date]], Table1__3[[#This Row],[Date]] &lt;= Table1__3[[#This Row],[End_Date]]), "During",
   "After"))</f>
        <v>Before</v>
      </c>
      <c r="S15" s="31"/>
      <c r="T15" s="31"/>
    </row>
    <row r="16" spans="1:20">
      <c r="A16" s="4" t="s">
        <v>45</v>
      </c>
      <c r="B16" s="4" t="s">
        <v>22</v>
      </c>
      <c r="C16" s="92">
        <v>45418</v>
      </c>
      <c r="D16" s="4" t="s">
        <v>14</v>
      </c>
      <c r="E16" s="4" t="s">
        <v>46</v>
      </c>
      <c r="F16">
        <v>3476</v>
      </c>
      <c r="G16">
        <v>355</v>
      </c>
      <c r="H16">
        <v>396</v>
      </c>
      <c r="I16">
        <v>37492</v>
      </c>
      <c r="J16">
        <v>27285</v>
      </c>
      <c r="K16">
        <v>179</v>
      </c>
      <c r="L16" s="4" t="s">
        <v>37</v>
      </c>
      <c r="M16" s="4"/>
      <c r="N16" s="4" t="s">
        <v>16</v>
      </c>
      <c r="O16" s="33">
        <f t="shared" si="0"/>
        <v>0.11274405206444041</v>
      </c>
      <c r="P16" s="92">
        <f>(_xlfn.XLOOKUP(Table1__3[[#This Row],[Campaign_Name]],Table3[Campaign_Name],Table3[Start_Date]))</f>
        <v>45667</v>
      </c>
      <c r="Q16" s="92">
        <f>(_xlfn.XLOOKUP(Table1__3[[#This Row],[Campaign_Name]],Table3[Campaign_Name],Table3[End_Date]))</f>
        <v>45698</v>
      </c>
      <c r="R16" s="4" t="str">
        <f>IF(Table1__3[[#This Row],[Date]] &lt; Table1__3[[#This Row],[Start_Date]], "Before",
   IF(AND(Table1__3[[#This Row],[Date]] &gt;= Table1__3[[#This Row],[Start_Date]], Table1__3[[#This Row],[Date]] &lt;= Table1__3[[#This Row],[End_Date]]), "During",
   "After"))</f>
        <v>Before</v>
      </c>
      <c r="S16" s="31"/>
      <c r="T16" s="31"/>
    </row>
    <row r="17" spans="1:20">
      <c r="A17" s="4" t="s">
        <v>47</v>
      </c>
      <c r="B17" s="4" t="s">
        <v>22</v>
      </c>
      <c r="C17" s="92">
        <v>45655</v>
      </c>
      <c r="D17" s="4" t="s">
        <v>23</v>
      </c>
      <c r="E17" s="4" t="s">
        <v>24</v>
      </c>
      <c r="F17">
        <v>4049</v>
      </c>
      <c r="G17">
        <v>377</v>
      </c>
      <c r="H17">
        <v>94</v>
      </c>
      <c r="I17">
        <v>48182</v>
      </c>
      <c r="J17">
        <v>42875</v>
      </c>
      <c r="K17">
        <v>172</v>
      </c>
      <c r="L17" s="4" t="s">
        <v>363</v>
      </c>
      <c r="M17" s="4" t="s">
        <v>37</v>
      </c>
      <c r="N17" s="4" t="s">
        <v>16</v>
      </c>
      <c r="O17" s="33">
        <f t="shared" si="0"/>
        <v>9.3810966751068869E-2</v>
      </c>
      <c r="P17" s="92">
        <f>(_xlfn.XLOOKUP(Table1__3[[#This Row],[Campaign_Name]],Table3[Campaign_Name],Table3[Start_Date]))</f>
        <v>45667</v>
      </c>
      <c r="Q17" s="92">
        <f>(_xlfn.XLOOKUP(Table1__3[[#This Row],[Campaign_Name]],Table3[Campaign_Name],Table3[End_Date]))</f>
        <v>45698</v>
      </c>
      <c r="R17" s="4" t="str">
        <f>IF(Table1__3[[#This Row],[Date]] &lt; Table1__3[[#This Row],[Start_Date]], "Before",
   IF(AND(Table1__3[[#This Row],[Date]] &gt;= Table1__3[[#This Row],[Start_Date]], Table1__3[[#This Row],[Date]] &lt;= Table1__3[[#This Row],[End_Date]]), "During",
   "After"))</f>
        <v>Before</v>
      </c>
      <c r="S17" s="31"/>
      <c r="T17" s="31"/>
    </row>
    <row r="18" spans="1:20">
      <c r="A18" s="4" t="s">
        <v>48</v>
      </c>
      <c r="B18" s="4" t="s">
        <v>22</v>
      </c>
      <c r="C18" s="92">
        <v>45453</v>
      </c>
      <c r="D18" s="4" t="s">
        <v>14</v>
      </c>
      <c r="E18" s="4" t="s">
        <v>31</v>
      </c>
      <c r="F18">
        <v>1514</v>
      </c>
      <c r="G18">
        <v>164</v>
      </c>
      <c r="H18">
        <v>275</v>
      </c>
      <c r="I18">
        <v>41364</v>
      </c>
      <c r="J18">
        <v>44389</v>
      </c>
      <c r="K18">
        <v>83</v>
      </c>
      <c r="L18" s="4" t="s">
        <v>37</v>
      </c>
      <c r="M18" s="4"/>
      <c r="N18" s="4" t="s">
        <v>16</v>
      </c>
      <c r="O18" s="33">
        <f t="shared" si="0"/>
        <v>4.7214969538729328E-2</v>
      </c>
      <c r="P18" s="92">
        <f>(_xlfn.XLOOKUP(Table1__3[[#This Row],[Campaign_Name]],Table3[Campaign_Name],Table3[Start_Date]))</f>
        <v>45667</v>
      </c>
      <c r="Q18" s="92">
        <f>(_xlfn.XLOOKUP(Table1__3[[#This Row],[Campaign_Name]],Table3[Campaign_Name],Table3[End_Date]))</f>
        <v>45698</v>
      </c>
      <c r="R18" s="4" t="str">
        <f>IF(Table1__3[[#This Row],[Date]] &lt; Table1__3[[#This Row],[Start_Date]], "Before",
   IF(AND(Table1__3[[#This Row],[Date]] &gt;= Table1__3[[#This Row],[Start_Date]], Table1__3[[#This Row],[Date]] &lt;= Table1__3[[#This Row],[End_Date]]), "During",
   "After"))</f>
        <v>Before</v>
      </c>
      <c r="S18" s="31"/>
      <c r="T18" s="31"/>
    </row>
    <row r="19" spans="1:20">
      <c r="A19" s="4" t="s">
        <v>49</v>
      </c>
      <c r="B19" s="4" t="s">
        <v>13</v>
      </c>
      <c r="C19" s="92">
        <v>45325</v>
      </c>
      <c r="D19" s="4" t="s">
        <v>23</v>
      </c>
      <c r="E19" s="4" t="s">
        <v>29</v>
      </c>
      <c r="F19">
        <v>4281</v>
      </c>
      <c r="G19">
        <v>101</v>
      </c>
      <c r="H19">
        <v>163</v>
      </c>
      <c r="I19">
        <v>32278</v>
      </c>
      <c r="J19">
        <v>53382</v>
      </c>
      <c r="K19">
        <v>235</v>
      </c>
      <c r="L19" s="4" t="s">
        <v>37</v>
      </c>
      <c r="M19" s="4"/>
      <c r="N19" s="4" t="s">
        <v>50</v>
      </c>
      <c r="O19" s="33">
        <f t="shared" si="0"/>
        <v>0.1408079806679472</v>
      </c>
      <c r="P19" s="92">
        <f>(_xlfn.XLOOKUP(Table1__3[[#This Row],[Campaign_Name]],Table3[Campaign_Name],Table3[Start_Date]))</f>
        <v>45627</v>
      </c>
      <c r="Q19" s="92">
        <f>(_xlfn.XLOOKUP(Table1__3[[#This Row],[Campaign_Name]],Table3[Campaign_Name],Table3[End_Date]))</f>
        <v>45657</v>
      </c>
      <c r="R19" s="4" t="str">
        <f>IF(Table1__3[[#This Row],[Date]] &lt; Table1__3[[#This Row],[Start_Date]], "Before",
   IF(AND(Table1__3[[#This Row],[Date]] &gt;= Table1__3[[#This Row],[Start_Date]], Table1__3[[#This Row],[Date]] &lt;= Table1__3[[#This Row],[End_Date]]), "During",
   "After"))</f>
        <v>Before</v>
      </c>
      <c r="S19" s="31"/>
      <c r="T19" s="31"/>
    </row>
    <row r="20" spans="1:20">
      <c r="A20" s="4" t="s">
        <v>51</v>
      </c>
      <c r="B20" s="4" t="s">
        <v>28</v>
      </c>
      <c r="C20" s="92">
        <v>45458</v>
      </c>
      <c r="D20" s="4" t="s">
        <v>52</v>
      </c>
      <c r="E20" s="4" t="s">
        <v>33</v>
      </c>
      <c r="F20">
        <v>1751</v>
      </c>
      <c r="G20">
        <v>143</v>
      </c>
      <c r="H20">
        <v>151</v>
      </c>
      <c r="I20">
        <v>31826</v>
      </c>
      <c r="J20">
        <v>47729</v>
      </c>
      <c r="K20">
        <v>95</v>
      </c>
      <c r="L20" s="4" t="s">
        <v>19</v>
      </c>
      <c r="M20" s="4" t="s">
        <v>40</v>
      </c>
      <c r="N20" s="4" t="s">
        <v>53</v>
      </c>
      <c r="O20" s="33">
        <f t="shared" si="0"/>
        <v>6.4255640042732362E-2</v>
      </c>
      <c r="P20" s="92">
        <f>(_xlfn.XLOOKUP(Table1__3[[#This Row],[Campaign_Name]],Table3[Campaign_Name],Table3[Start_Date]))</f>
        <v>45458</v>
      </c>
      <c r="Q20" s="92">
        <f>(_xlfn.XLOOKUP(Table1__3[[#This Row],[Campaign_Name]],Table3[Campaign_Name],Table3[End_Date]))</f>
        <v>45488</v>
      </c>
      <c r="R20" s="4" t="str">
        <f>IF(Table1__3[[#This Row],[Date]] &lt; Table1__3[[#This Row],[Start_Date]], "Before",
   IF(AND(Table1__3[[#This Row],[Date]] &gt;= Table1__3[[#This Row],[Start_Date]], Table1__3[[#This Row],[Date]] &lt;= Table1__3[[#This Row],[End_Date]]), "During",
   "After"))</f>
        <v>During</v>
      </c>
      <c r="S20" s="31"/>
      <c r="T20" s="31"/>
    </row>
    <row r="21" spans="1:20">
      <c r="A21" s="4" t="s">
        <v>54</v>
      </c>
      <c r="B21" s="4" t="s">
        <v>13</v>
      </c>
      <c r="C21" s="92">
        <v>45478</v>
      </c>
      <c r="D21" s="4" t="s">
        <v>14</v>
      </c>
      <c r="E21" s="4" t="s">
        <v>46</v>
      </c>
      <c r="F21">
        <v>3753</v>
      </c>
      <c r="G21">
        <v>411</v>
      </c>
      <c r="H21">
        <v>308</v>
      </c>
      <c r="I21">
        <v>29138</v>
      </c>
      <c r="J21">
        <v>27678</v>
      </c>
      <c r="K21">
        <v>90</v>
      </c>
      <c r="L21" s="4" t="s">
        <v>19</v>
      </c>
      <c r="M21" s="4"/>
      <c r="N21" s="4" t="s">
        <v>20</v>
      </c>
      <c r="O21" s="33">
        <f t="shared" si="0"/>
        <v>0.15347655981879332</v>
      </c>
      <c r="P21" s="92">
        <f>(_xlfn.XLOOKUP(Table1__3[[#This Row],[Campaign_Name]],Table3[Campaign_Name],Table3[Start_Date]))</f>
        <v>45717</v>
      </c>
      <c r="Q21" s="92">
        <f>(_xlfn.XLOOKUP(Table1__3[[#This Row],[Campaign_Name]],Table3[Campaign_Name],Table3[End_Date]))</f>
        <v>45747</v>
      </c>
      <c r="R21" s="4" t="str">
        <f>IF(Table1__3[[#This Row],[Date]] &lt; Table1__3[[#This Row],[Start_Date]], "Before",
   IF(AND(Table1__3[[#This Row],[Date]] &gt;= Table1__3[[#This Row],[Start_Date]], Table1__3[[#This Row],[Date]] &lt;= Table1__3[[#This Row],[End_Date]]), "During",
   "After"))</f>
        <v>Before</v>
      </c>
      <c r="S21" s="31"/>
      <c r="T21" s="31"/>
    </row>
    <row r="22" spans="1:20">
      <c r="A22" s="4" t="s">
        <v>55</v>
      </c>
      <c r="B22" s="4" t="s">
        <v>13</v>
      </c>
      <c r="C22" s="92">
        <v>45603</v>
      </c>
      <c r="D22" s="4" t="s">
        <v>23</v>
      </c>
      <c r="E22" s="4" t="s">
        <v>26</v>
      </c>
      <c r="F22">
        <v>1678</v>
      </c>
      <c r="G22">
        <v>423</v>
      </c>
      <c r="H22">
        <v>323</v>
      </c>
      <c r="I22">
        <v>55668</v>
      </c>
      <c r="J22">
        <v>37945</v>
      </c>
      <c r="K22">
        <v>230</v>
      </c>
      <c r="L22" s="4" t="s">
        <v>37</v>
      </c>
      <c r="M22" s="4"/>
      <c r="N22" s="4" t="s">
        <v>50</v>
      </c>
      <c r="O22" s="33">
        <f t="shared" si="0"/>
        <v>4.3543867212761371E-2</v>
      </c>
      <c r="P22" s="92">
        <f>(_xlfn.XLOOKUP(Table1__3[[#This Row],[Campaign_Name]],Table3[Campaign_Name],Table3[Start_Date]))</f>
        <v>45627</v>
      </c>
      <c r="Q22" s="92">
        <f>(_xlfn.XLOOKUP(Table1__3[[#This Row],[Campaign_Name]],Table3[Campaign_Name],Table3[End_Date]))</f>
        <v>45657</v>
      </c>
      <c r="R22" s="4" t="str">
        <f>IF(Table1__3[[#This Row],[Date]] &lt; Table1__3[[#This Row],[Start_Date]], "Before",
   IF(AND(Table1__3[[#This Row],[Date]] &gt;= Table1__3[[#This Row],[Start_Date]], Table1__3[[#This Row],[Date]] &lt;= Table1__3[[#This Row],[End_Date]]), "During",
   "After"))</f>
        <v>Before</v>
      </c>
      <c r="S22" s="31"/>
      <c r="T22" s="31"/>
    </row>
    <row r="23" spans="1:20">
      <c r="A23" s="4" t="s">
        <v>56</v>
      </c>
      <c r="B23" s="4" t="s">
        <v>13</v>
      </c>
      <c r="C23" s="92">
        <v>45823</v>
      </c>
      <c r="D23" s="4" t="s">
        <v>14</v>
      </c>
      <c r="E23" s="4" t="s">
        <v>31</v>
      </c>
      <c r="F23">
        <v>4896</v>
      </c>
      <c r="G23">
        <v>466</v>
      </c>
      <c r="H23">
        <v>233</v>
      </c>
      <c r="I23">
        <v>28621</v>
      </c>
      <c r="J23">
        <v>34270</v>
      </c>
      <c r="K23">
        <v>84</v>
      </c>
      <c r="L23" s="4" t="s">
        <v>40</v>
      </c>
      <c r="M23" s="4" t="s">
        <v>37</v>
      </c>
      <c r="N23" s="4" t="s">
        <v>16</v>
      </c>
      <c r="O23" s="33">
        <f t="shared" si="0"/>
        <v>0.19548583208133888</v>
      </c>
      <c r="P23" s="92">
        <f>(_xlfn.XLOOKUP(Table1__3[[#This Row],[Campaign_Name]],Table3[Campaign_Name],Table3[Start_Date]))</f>
        <v>45667</v>
      </c>
      <c r="Q23" s="92">
        <f>(_xlfn.XLOOKUP(Table1__3[[#This Row],[Campaign_Name]],Table3[Campaign_Name],Table3[End_Date]))</f>
        <v>45698</v>
      </c>
      <c r="R23" s="4" t="str">
        <f>IF(Table1__3[[#This Row],[Date]] &lt; Table1__3[[#This Row],[Start_Date]], "Before",
   IF(AND(Table1__3[[#This Row],[Date]] &gt;= Table1__3[[#This Row],[Start_Date]], Table1__3[[#This Row],[Date]] &lt;= Table1__3[[#This Row],[End_Date]]), "During",
   "After"))</f>
        <v>After</v>
      </c>
      <c r="S23" s="31"/>
      <c r="T23" s="31"/>
    </row>
    <row r="24" spans="1:20">
      <c r="A24" s="4" t="s">
        <v>57</v>
      </c>
      <c r="B24" s="4" t="s">
        <v>28</v>
      </c>
      <c r="C24" s="92">
        <v>45452</v>
      </c>
      <c r="D24" s="4" t="s">
        <v>52</v>
      </c>
      <c r="E24" s="4" t="s">
        <v>44</v>
      </c>
      <c r="F24">
        <v>2786</v>
      </c>
      <c r="G24">
        <v>368</v>
      </c>
      <c r="H24">
        <v>208</v>
      </c>
      <c r="I24">
        <v>42000</v>
      </c>
      <c r="J24">
        <v>39967</v>
      </c>
      <c r="K24">
        <v>103</v>
      </c>
      <c r="L24" s="4" t="s">
        <v>19</v>
      </c>
      <c r="M24" s="4" t="s">
        <v>40</v>
      </c>
      <c r="N24" s="4" t="s">
        <v>53</v>
      </c>
      <c r="O24" s="33">
        <f t="shared" si="0"/>
        <v>8.0047619047619048E-2</v>
      </c>
      <c r="P24" s="92">
        <f>(_xlfn.XLOOKUP(Table1__3[[#This Row],[Campaign_Name]],Table3[Campaign_Name],Table3[Start_Date]))</f>
        <v>45458</v>
      </c>
      <c r="Q24" s="92">
        <f>(_xlfn.XLOOKUP(Table1__3[[#This Row],[Campaign_Name]],Table3[Campaign_Name],Table3[End_Date]))</f>
        <v>45488</v>
      </c>
      <c r="R24" s="4" t="str">
        <f>IF(Table1__3[[#This Row],[Date]] &lt; Table1__3[[#This Row],[Start_Date]], "Before",
   IF(AND(Table1__3[[#This Row],[Date]] &gt;= Table1__3[[#This Row],[Start_Date]], Table1__3[[#This Row],[Date]] &lt;= Table1__3[[#This Row],[End_Date]]), "During",
   "After"))</f>
        <v>Before</v>
      </c>
      <c r="S24" s="31"/>
      <c r="T24" s="31"/>
    </row>
    <row r="25" spans="1:20">
      <c r="A25" s="4" t="s">
        <v>58</v>
      </c>
      <c r="B25" s="4" t="s">
        <v>22</v>
      </c>
      <c r="C25" s="92">
        <v>45583</v>
      </c>
      <c r="D25" s="4" t="s">
        <v>14</v>
      </c>
      <c r="E25" s="4" t="s">
        <v>24</v>
      </c>
      <c r="F25">
        <v>2607</v>
      </c>
      <c r="G25">
        <v>379</v>
      </c>
      <c r="H25">
        <v>180</v>
      </c>
      <c r="I25">
        <v>28712</v>
      </c>
      <c r="J25">
        <v>61620</v>
      </c>
      <c r="K25">
        <v>174</v>
      </c>
      <c r="L25" s="4" t="s">
        <v>40</v>
      </c>
      <c r="M25" s="4"/>
      <c r="N25" s="4" t="s">
        <v>20</v>
      </c>
      <c r="O25" s="33">
        <f t="shared" si="0"/>
        <v>0.11026748397882419</v>
      </c>
      <c r="P25" s="92">
        <f>(_xlfn.XLOOKUP(Table1__3[[#This Row],[Campaign_Name]],Table3[Campaign_Name],Table3[Start_Date]))</f>
        <v>45717</v>
      </c>
      <c r="Q25" s="92">
        <f>(_xlfn.XLOOKUP(Table1__3[[#This Row],[Campaign_Name]],Table3[Campaign_Name],Table3[End_Date]))</f>
        <v>45747</v>
      </c>
      <c r="R25" s="4" t="str">
        <f>IF(Table1__3[[#This Row],[Date]] &lt; Table1__3[[#This Row],[Start_Date]], "Before",
   IF(AND(Table1__3[[#This Row],[Date]] &gt;= Table1__3[[#This Row],[Start_Date]], Table1__3[[#This Row],[Date]] &lt;= Table1__3[[#This Row],[End_Date]]), "During",
   "After"))</f>
        <v>Before</v>
      </c>
      <c r="S25" s="31"/>
      <c r="T25" s="31"/>
    </row>
    <row r="26" spans="1:20">
      <c r="A26" s="4" t="s">
        <v>59</v>
      </c>
      <c r="B26" s="4" t="s">
        <v>28</v>
      </c>
      <c r="C26" s="92">
        <v>45575</v>
      </c>
      <c r="D26" s="4" t="s">
        <v>52</v>
      </c>
      <c r="E26" s="4" t="s">
        <v>44</v>
      </c>
      <c r="F26">
        <v>4013</v>
      </c>
      <c r="G26">
        <v>320</v>
      </c>
      <c r="H26">
        <v>92</v>
      </c>
      <c r="I26">
        <v>54605</v>
      </c>
      <c r="J26">
        <v>60169</v>
      </c>
      <c r="K26">
        <v>232</v>
      </c>
      <c r="L26" s="4" t="s">
        <v>19</v>
      </c>
      <c r="M26" s="4" t="s">
        <v>40</v>
      </c>
      <c r="N26" s="4" t="s">
        <v>53</v>
      </c>
      <c r="O26" s="33">
        <f t="shared" si="0"/>
        <v>8.1036535115831879E-2</v>
      </c>
      <c r="P26" s="92">
        <f>(_xlfn.XLOOKUP(Table1__3[[#This Row],[Campaign_Name]],Table3[Campaign_Name],Table3[Start_Date]))</f>
        <v>45458</v>
      </c>
      <c r="Q26" s="92">
        <f>(_xlfn.XLOOKUP(Table1__3[[#This Row],[Campaign_Name]],Table3[Campaign_Name],Table3[End_Date]))</f>
        <v>45488</v>
      </c>
      <c r="R26" s="4" t="str">
        <f>IF(Table1__3[[#This Row],[Date]] &lt; Table1__3[[#This Row],[Start_Date]], "Before",
   IF(AND(Table1__3[[#This Row],[Date]] &gt;= Table1__3[[#This Row],[Start_Date]], Table1__3[[#This Row],[Date]] &lt;= Table1__3[[#This Row],[End_Date]]), "During",
   "After"))</f>
        <v>After</v>
      </c>
      <c r="S26" s="31"/>
      <c r="T26" s="31"/>
    </row>
    <row r="27" spans="1:20">
      <c r="A27" s="4" t="s">
        <v>60</v>
      </c>
      <c r="B27" s="4" t="s">
        <v>22</v>
      </c>
      <c r="C27" s="92">
        <v>45791</v>
      </c>
      <c r="D27" s="4" t="s">
        <v>23</v>
      </c>
      <c r="E27" s="4" t="s">
        <v>44</v>
      </c>
      <c r="F27">
        <v>2707</v>
      </c>
      <c r="G27">
        <v>103</v>
      </c>
      <c r="H27">
        <v>51</v>
      </c>
      <c r="I27">
        <v>55302</v>
      </c>
      <c r="J27">
        <v>18801</v>
      </c>
      <c r="K27">
        <v>147</v>
      </c>
      <c r="L27" s="4" t="s">
        <v>19</v>
      </c>
      <c r="M27" s="4" t="s">
        <v>363</v>
      </c>
      <c r="N27" s="4" t="s">
        <v>16</v>
      </c>
      <c r="O27" s="33">
        <f t="shared" si="0"/>
        <v>5.173411449857148E-2</v>
      </c>
      <c r="P27" s="92">
        <f>(_xlfn.XLOOKUP(Table1__3[[#This Row],[Campaign_Name]],Table3[Campaign_Name],Table3[Start_Date]))</f>
        <v>45667</v>
      </c>
      <c r="Q27" s="92">
        <f>(_xlfn.XLOOKUP(Table1__3[[#This Row],[Campaign_Name]],Table3[Campaign_Name],Table3[End_Date]))</f>
        <v>45698</v>
      </c>
      <c r="R27" s="4" t="str">
        <f>IF(Table1__3[[#This Row],[Date]] &lt; Table1__3[[#This Row],[Start_Date]], "Before",
   IF(AND(Table1__3[[#This Row],[Date]] &gt;= Table1__3[[#This Row],[Start_Date]], Table1__3[[#This Row],[Date]] &lt;= Table1__3[[#This Row],[End_Date]]), "During",
   "After"))</f>
        <v>After</v>
      </c>
      <c r="S27" s="31"/>
      <c r="T27" s="31"/>
    </row>
    <row r="28" spans="1:20">
      <c r="A28" s="4" t="s">
        <v>61</v>
      </c>
      <c r="B28" s="4" t="s">
        <v>13</v>
      </c>
      <c r="C28" s="92">
        <v>45625</v>
      </c>
      <c r="D28" s="4" t="s">
        <v>14</v>
      </c>
      <c r="E28" s="4" t="s">
        <v>31</v>
      </c>
      <c r="F28">
        <v>2824</v>
      </c>
      <c r="G28">
        <v>425</v>
      </c>
      <c r="H28">
        <v>274</v>
      </c>
      <c r="I28">
        <v>31004</v>
      </c>
      <c r="J28">
        <v>53488</v>
      </c>
      <c r="K28">
        <v>268</v>
      </c>
      <c r="L28" s="4" t="s">
        <v>40</v>
      </c>
      <c r="M28" s="4" t="s">
        <v>37</v>
      </c>
      <c r="N28" s="4" t="s">
        <v>16</v>
      </c>
      <c r="O28" s="33">
        <f t="shared" si="0"/>
        <v>0.11363049929041415</v>
      </c>
      <c r="P28" s="92">
        <f>(_xlfn.XLOOKUP(Table1__3[[#This Row],[Campaign_Name]],Table3[Campaign_Name],Table3[Start_Date]))</f>
        <v>45667</v>
      </c>
      <c r="Q28" s="92">
        <f>(_xlfn.XLOOKUP(Table1__3[[#This Row],[Campaign_Name]],Table3[Campaign_Name],Table3[End_Date]))</f>
        <v>45698</v>
      </c>
      <c r="R28" s="4" t="str">
        <f>IF(Table1__3[[#This Row],[Date]] &lt; Table1__3[[#This Row],[Start_Date]], "Before",
   IF(AND(Table1__3[[#This Row],[Date]] &gt;= Table1__3[[#This Row],[Start_Date]], Table1__3[[#This Row],[Date]] &lt;= Table1__3[[#This Row],[End_Date]]), "During",
   "After"))</f>
        <v>Before</v>
      </c>
      <c r="S28" s="31"/>
      <c r="T28" s="31"/>
    </row>
    <row r="29" spans="1:20">
      <c r="A29" s="4" t="s">
        <v>62</v>
      </c>
      <c r="B29" s="4" t="s">
        <v>28</v>
      </c>
      <c r="C29" s="92">
        <v>45356</v>
      </c>
      <c r="D29" s="4" t="s">
        <v>52</v>
      </c>
      <c r="E29" s="4" t="s">
        <v>18</v>
      </c>
      <c r="F29">
        <v>3558</v>
      </c>
      <c r="G29">
        <v>314</v>
      </c>
      <c r="H29">
        <v>199</v>
      </c>
      <c r="I29">
        <v>49612</v>
      </c>
      <c r="J29">
        <v>53929</v>
      </c>
      <c r="K29">
        <v>206</v>
      </c>
      <c r="L29" s="4" t="s">
        <v>19</v>
      </c>
      <c r="M29" s="4" t="s">
        <v>40</v>
      </c>
      <c r="N29" s="4" t="s">
        <v>53</v>
      </c>
      <c r="O29" s="33">
        <f t="shared" si="0"/>
        <v>8.205676046117874E-2</v>
      </c>
      <c r="P29" s="92">
        <f>(_xlfn.XLOOKUP(Table1__3[[#This Row],[Campaign_Name]],Table3[Campaign_Name],Table3[Start_Date]))</f>
        <v>45458</v>
      </c>
      <c r="Q29" s="92">
        <f>(_xlfn.XLOOKUP(Table1__3[[#This Row],[Campaign_Name]],Table3[Campaign_Name],Table3[End_Date]))</f>
        <v>45488</v>
      </c>
      <c r="R29" s="4" t="str">
        <f>IF(Table1__3[[#This Row],[Date]] &lt; Table1__3[[#This Row],[Start_Date]], "Before",
   IF(AND(Table1__3[[#This Row],[Date]] &gt;= Table1__3[[#This Row],[Start_Date]], Table1__3[[#This Row],[Date]] &lt;= Table1__3[[#This Row],[End_Date]]), "During",
   "After"))</f>
        <v>Before</v>
      </c>
      <c r="S29" s="31"/>
      <c r="T29" s="31"/>
    </row>
    <row r="30" spans="1:20">
      <c r="A30" s="4" t="s">
        <v>63</v>
      </c>
      <c r="B30" s="4" t="s">
        <v>22</v>
      </c>
      <c r="C30" s="92">
        <v>45734</v>
      </c>
      <c r="D30" s="4" t="s">
        <v>23</v>
      </c>
      <c r="E30" s="4" t="s">
        <v>18</v>
      </c>
      <c r="F30">
        <v>3418</v>
      </c>
      <c r="G30">
        <v>188</v>
      </c>
      <c r="H30">
        <v>387</v>
      </c>
      <c r="I30">
        <v>57431</v>
      </c>
      <c r="J30">
        <v>36933</v>
      </c>
      <c r="K30">
        <v>202</v>
      </c>
      <c r="L30" s="4" t="s">
        <v>363</v>
      </c>
      <c r="M30" s="4" t="s">
        <v>37</v>
      </c>
      <c r="N30" s="4" t="s">
        <v>16</v>
      </c>
      <c r="O30" s="33">
        <f t="shared" si="0"/>
        <v>6.9526910553533799E-2</v>
      </c>
      <c r="P30" s="92">
        <f>(_xlfn.XLOOKUP(Table1__3[[#This Row],[Campaign_Name]],Table3[Campaign_Name],Table3[Start_Date]))</f>
        <v>45667</v>
      </c>
      <c r="Q30" s="92">
        <f>(_xlfn.XLOOKUP(Table1__3[[#This Row],[Campaign_Name]],Table3[Campaign_Name],Table3[End_Date]))</f>
        <v>45698</v>
      </c>
      <c r="R30" s="4" t="str">
        <f>IF(Table1__3[[#This Row],[Date]] &lt; Table1__3[[#This Row],[Start_Date]], "Before",
   IF(AND(Table1__3[[#This Row],[Date]] &gt;= Table1__3[[#This Row],[Start_Date]], Table1__3[[#This Row],[Date]] &lt;= Table1__3[[#This Row],[End_Date]]), "During",
   "After"))</f>
        <v>After</v>
      </c>
      <c r="S30" s="31"/>
      <c r="T30" s="31"/>
    </row>
    <row r="31" spans="1:20">
      <c r="A31" s="4" t="s">
        <v>64</v>
      </c>
      <c r="B31" s="4" t="s">
        <v>22</v>
      </c>
      <c r="C31" s="92">
        <v>45773</v>
      </c>
      <c r="D31" s="4" t="s">
        <v>14</v>
      </c>
      <c r="E31" s="4" t="s">
        <v>15</v>
      </c>
      <c r="F31">
        <v>2411</v>
      </c>
      <c r="G31">
        <v>194</v>
      </c>
      <c r="H31">
        <v>168</v>
      </c>
      <c r="I31">
        <v>26665</v>
      </c>
      <c r="J31">
        <v>71699</v>
      </c>
      <c r="K31">
        <v>197</v>
      </c>
      <c r="L31" s="4" t="s">
        <v>37</v>
      </c>
      <c r="M31" s="4"/>
      <c r="N31" s="4" t="s">
        <v>16</v>
      </c>
      <c r="O31" s="33">
        <f t="shared" si="0"/>
        <v>0.10399399962497656</v>
      </c>
      <c r="P31" s="92">
        <f>(_xlfn.XLOOKUP(Table1__3[[#This Row],[Campaign_Name]],Table3[Campaign_Name],Table3[Start_Date]))</f>
        <v>45667</v>
      </c>
      <c r="Q31" s="92">
        <f>(_xlfn.XLOOKUP(Table1__3[[#This Row],[Campaign_Name]],Table3[Campaign_Name],Table3[End_Date]))</f>
        <v>45698</v>
      </c>
      <c r="R31" s="4" t="str">
        <f>IF(Table1__3[[#This Row],[Date]] &lt; Table1__3[[#This Row],[Start_Date]], "Before",
   IF(AND(Table1__3[[#This Row],[Date]] &gt;= Table1__3[[#This Row],[Start_Date]], Table1__3[[#This Row],[Date]] &lt;= Table1__3[[#This Row],[End_Date]]), "During",
   "After"))</f>
        <v>After</v>
      </c>
      <c r="S31" s="31"/>
      <c r="T31" s="31"/>
    </row>
    <row r="32" spans="1:20">
      <c r="A32" s="4" t="s">
        <v>65</v>
      </c>
      <c r="B32" s="4" t="s">
        <v>13</v>
      </c>
      <c r="C32" s="92">
        <v>45658</v>
      </c>
      <c r="D32" s="4" t="s">
        <v>14</v>
      </c>
      <c r="E32" s="4" t="s">
        <v>24</v>
      </c>
      <c r="F32">
        <v>4036</v>
      </c>
      <c r="G32">
        <v>112</v>
      </c>
      <c r="H32">
        <v>382</v>
      </c>
      <c r="I32">
        <v>56284</v>
      </c>
      <c r="J32">
        <v>29440</v>
      </c>
      <c r="K32">
        <v>279</v>
      </c>
      <c r="L32" s="4" t="s">
        <v>40</v>
      </c>
      <c r="M32" s="4" t="s">
        <v>37</v>
      </c>
      <c r="N32" s="4" t="s">
        <v>16</v>
      </c>
      <c r="O32" s="33">
        <f t="shared" si="0"/>
        <v>8.0484684812735408E-2</v>
      </c>
      <c r="P32" s="92">
        <f>(_xlfn.XLOOKUP(Table1__3[[#This Row],[Campaign_Name]],Table3[Campaign_Name],Table3[Start_Date]))</f>
        <v>45667</v>
      </c>
      <c r="Q32" s="92">
        <f>(_xlfn.XLOOKUP(Table1__3[[#This Row],[Campaign_Name]],Table3[Campaign_Name],Table3[End_Date]))</f>
        <v>45698</v>
      </c>
      <c r="R32" s="4" t="str">
        <f>IF(Table1__3[[#This Row],[Date]] &lt; Table1__3[[#This Row],[Start_Date]], "Before",
   IF(AND(Table1__3[[#This Row],[Date]] &gt;= Table1__3[[#This Row],[Start_Date]], Table1__3[[#This Row],[Date]] &lt;= Table1__3[[#This Row],[End_Date]]), "During",
   "After"))</f>
        <v>Before</v>
      </c>
      <c r="S32" s="31"/>
      <c r="T32" s="31"/>
    </row>
    <row r="33" spans="1:20">
      <c r="A33" s="4" t="s">
        <v>66</v>
      </c>
      <c r="B33" s="4" t="s">
        <v>22</v>
      </c>
      <c r="C33" s="92">
        <v>45419</v>
      </c>
      <c r="D33" s="4" t="s">
        <v>23</v>
      </c>
      <c r="E33" s="4" t="s">
        <v>18</v>
      </c>
      <c r="F33">
        <v>2776</v>
      </c>
      <c r="G33">
        <v>307</v>
      </c>
      <c r="H33">
        <v>178</v>
      </c>
      <c r="I33">
        <v>43365</v>
      </c>
      <c r="J33">
        <v>48408</v>
      </c>
      <c r="K33">
        <v>138</v>
      </c>
      <c r="L33" s="4" t="s">
        <v>40</v>
      </c>
      <c r="M33" s="4" t="s">
        <v>37</v>
      </c>
      <c r="N33" s="4" t="s">
        <v>16</v>
      </c>
      <c r="O33" s="33">
        <f t="shared" si="0"/>
        <v>7.519889311656866E-2</v>
      </c>
      <c r="P33" s="92">
        <f>(_xlfn.XLOOKUP(Table1__3[[#This Row],[Campaign_Name]],Table3[Campaign_Name],Table3[Start_Date]))</f>
        <v>45667</v>
      </c>
      <c r="Q33" s="92">
        <f>(_xlfn.XLOOKUP(Table1__3[[#This Row],[Campaign_Name]],Table3[Campaign_Name],Table3[End_Date]))</f>
        <v>45698</v>
      </c>
      <c r="R33" s="4" t="str">
        <f>IF(Table1__3[[#This Row],[Date]] &lt; Table1__3[[#This Row],[Start_Date]], "Before",
   IF(AND(Table1__3[[#This Row],[Date]] &gt;= Table1__3[[#This Row],[Start_Date]], Table1__3[[#This Row],[Date]] &lt;= Table1__3[[#This Row],[End_Date]]), "During",
   "After"))</f>
        <v>Before</v>
      </c>
      <c r="S33" s="31"/>
      <c r="T33" s="31"/>
    </row>
    <row r="34" spans="1:20">
      <c r="A34" s="4" t="s">
        <v>67</v>
      </c>
      <c r="B34" s="4" t="s">
        <v>22</v>
      </c>
      <c r="C34" s="92">
        <v>45574</v>
      </c>
      <c r="D34" s="4" t="s">
        <v>23</v>
      </c>
      <c r="E34" s="4" t="s">
        <v>15</v>
      </c>
      <c r="F34">
        <v>4929</v>
      </c>
      <c r="G34">
        <v>182</v>
      </c>
      <c r="H34">
        <v>95</v>
      </c>
      <c r="I34">
        <v>32181</v>
      </c>
      <c r="J34">
        <v>31084</v>
      </c>
      <c r="K34">
        <v>289</v>
      </c>
      <c r="L34" s="4" t="s">
        <v>19</v>
      </c>
      <c r="M34" s="4" t="s">
        <v>363</v>
      </c>
      <c r="N34" s="4" t="s">
        <v>16</v>
      </c>
      <c r="O34" s="33">
        <f t="shared" si="0"/>
        <v>0.16177247444144061</v>
      </c>
      <c r="P34" s="92">
        <f>(_xlfn.XLOOKUP(Table1__3[[#This Row],[Campaign_Name]],Table3[Campaign_Name],Table3[Start_Date]))</f>
        <v>45667</v>
      </c>
      <c r="Q34" s="92">
        <f>(_xlfn.XLOOKUP(Table1__3[[#This Row],[Campaign_Name]],Table3[Campaign_Name],Table3[End_Date]))</f>
        <v>45698</v>
      </c>
      <c r="R34" s="4" t="str">
        <f>IF(Table1__3[[#This Row],[Date]] &lt; Table1__3[[#This Row],[Start_Date]], "Before",
   IF(AND(Table1__3[[#This Row],[Date]] &gt;= Table1__3[[#This Row],[Start_Date]], Table1__3[[#This Row],[Date]] &lt;= Table1__3[[#This Row],[End_Date]]), "During",
   "After"))</f>
        <v>Before</v>
      </c>
      <c r="S34" s="31"/>
      <c r="T34" s="31"/>
    </row>
    <row r="35" spans="1:20">
      <c r="A35" s="4" t="s">
        <v>68</v>
      </c>
      <c r="B35" s="4" t="s">
        <v>13</v>
      </c>
      <c r="C35" s="92">
        <v>45666</v>
      </c>
      <c r="D35" s="4" t="s">
        <v>14</v>
      </c>
      <c r="E35" s="4" t="s">
        <v>24</v>
      </c>
      <c r="F35">
        <v>1015</v>
      </c>
      <c r="G35">
        <v>366</v>
      </c>
      <c r="H35">
        <v>308</v>
      </c>
      <c r="I35">
        <v>38127</v>
      </c>
      <c r="J35">
        <v>63790</v>
      </c>
      <c r="K35">
        <v>287</v>
      </c>
      <c r="L35" s="4" t="s">
        <v>40</v>
      </c>
      <c r="M35" s="4" t="s">
        <v>37</v>
      </c>
      <c r="N35" s="4" t="s">
        <v>16</v>
      </c>
      <c r="O35" s="33">
        <f t="shared" si="0"/>
        <v>4.4299315445747112E-2</v>
      </c>
      <c r="P35" s="92">
        <f>(_xlfn.XLOOKUP(Table1__3[[#This Row],[Campaign_Name]],Table3[Campaign_Name],Table3[Start_Date]))</f>
        <v>45667</v>
      </c>
      <c r="Q35" s="92">
        <f>(_xlfn.XLOOKUP(Table1__3[[#This Row],[Campaign_Name]],Table3[Campaign_Name],Table3[End_Date]))</f>
        <v>45698</v>
      </c>
      <c r="R35" s="4" t="str">
        <f>IF(Table1__3[[#This Row],[Date]] &lt; Table1__3[[#This Row],[Start_Date]], "Before",
   IF(AND(Table1__3[[#This Row],[Date]] &gt;= Table1__3[[#This Row],[Start_Date]], Table1__3[[#This Row],[Date]] &lt;= Table1__3[[#This Row],[End_Date]]), "During",
   "After"))</f>
        <v>Before</v>
      </c>
      <c r="S35" s="31"/>
      <c r="T35" s="31"/>
    </row>
    <row r="36" spans="1:20">
      <c r="A36" s="4" t="s">
        <v>69</v>
      </c>
      <c r="B36" s="4" t="s">
        <v>22</v>
      </c>
      <c r="C36" s="92">
        <v>45785</v>
      </c>
      <c r="D36" s="4" t="s">
        <v>23</v>
      </c>
      <c r="E36" s="4" t="s">
        <v>46</v>
      </c>
      <c r="F36">
        <v>3316</v>
      </c>
      <c r="G36">
        <v>332</v>
      </c>
      <c r="H36">
        <v>268</v>
      </c>
      <c r="I36">
        <v>40095</v>
      </c>
      <c r="J36">
        <v>36913</v>
      </c>
      <c r="K36">
        <v>265</v>
      </c>
      <c r="L36" s="4" t="s">
        <v>363</v>
      </c>
      <c r="M36" s="4" t="s">
        <v>37</v>
      </c>
      <c r="N36" s="4" t="s">
        <v>16</v>
      </c>
      <c r="O36" s="33">
        <f t="shared" si="0"/>
        <v>9.7668038408779148E-2</v>
      </c>
      <c r="P36" s="92">
        <f>(_xlfn.XLOOKUP(Table1__3[[#This Row],[Campaign_Name]],Table3[Campaign_Name],Table3[Start_Date]))</f>
        <v>45667</v>
      </c>
      <c r="Q36" s="92">
        <f>(_xlfn.XLOOKUP(Table1__3[[#This Row],[Campaign_Name]],Table3[Campaign_Name],Table3[End_Date]))</f>
        <v>45698</v>
      </c>
      <c r="R36" s="4" t="str">
        <f>IF(Table1__3[[#This Row],[Date]] &lt; Table1__3[[#This Row],[Start_Date]], "Before",
   IF(AND(Table1__3[[#This Row],[Date]] &gt;= Table1__3[[#This Row],[Start_Date]], Table1__3[[#This Row],[Date]] &lt;= Table1__3[[#This Row],[End_Date]]), "During",
   "After"))</f>
        <v>After</v>
      </c>
      <c r="S36" s="31"/>
      <c r="T36" s="31"/>
    </row>
    <row r="37" spans="1:20">
      <c r="A37" s="4" t="s">
        <v>70</v>
      </c>
      <c r="B37" s="4" t="s">
        <v>13</v>
      </c>
      <c r="C37" s="92">
        <v>45416</v>
      </c>
      <c r="D37" s="4" t="s">
        <v>14</v>
      </c>
      <c r="E37" s="4" t="s">
        <v>26</v>
      </c>
      <c r="F37">
        <v>2274</v>
      </c>
      <c r="G37">
        <v>243</v>
      </c>
      <c r="H37">
        <v>222</v>
      </c>
      <c r="I37">
        <v>43066</v>
      </c>
      <c r="J37">
        <v>59174</v>
      </c>
      <c r="K37">
        <v>80</v>
      </c>
      <c r="L37" s="4" t="s">
        <v>19</v>
      </c>
      <c r="M37" s="4"/>
      <c r="N37" s="4" t="s">
        <v>20</v>
      </c>
      <c r="O37" s="33">
        <f t="shared" si="0"/>
        <v>6.3600055728416843E-2</v>
      </c>
      <c r="P37" s="92">
        <f>(_xlfn.XLOOKUP(Table1__3[[#This Row],[Campaign_Name]],Table3[Campaign_Name],Table3[Start_Date]))</f>
        <v>45717</v>
      </c>
      <c r="Q37" s="92">
        <f>(_xlfn.XLOOKUP(Table1__3[[#This Row],[Campaign_Name]],Table3[Campaign_Name],Table3[End_Date]))</f>
        <v>45747</v>
      </c>
      <c r="R37" s="4" t="str">
        <f>IF(Table1__3[[#This Row],[Date]] &lt; Table1__3[[#This Row],[Start_Date]], "Before",
   IF(AND(Table1__3[[#This Row],[Date]] &gt;= Table1__3[[#This Row],[Start_Date]], Table1__3[[#This Row],[Date]] &lt;= Table1__3[[#This Row],[End_Date]]), "During",
   "After"))</f>
        <v>Before</v>
      </c>
      <c r="S37" s="31"/>
      <c r="T37" s="31"/>
    </row>
    <row r="38" spans="1:20">
      <c r="A38" s="4" t="s">
        <v>71</v>
      </c>
      <c r="B38" s="4" t="s">
        <v>22</v>
      </c>
      <c r="C38" s="92">
        <v>45804</v>
      </c>
      <c r="D38" s="4" t="s">
        <v>23</v>
      </c>
      <c r="E38" s="4" t="s">
        <v>18</v>
      </c>
      <c r="F38">
        <v>4095</v>
      </c>
      <c r="G38">
        <v>385</v>
      </c>
      <c r="H38">
        <v>400</v>
      </c>
      <c r="I38">
        <v>45300</v>
      </c>
      <c r="J38">
        <v>31795</v>
      </c>
      <c r="K38">
        <v>80</v>
      </c>
      <c r="L38" s="4" t="s">
        <v>363</v>
      </c>
      <c r="M38" s="4" t="s">
        <v>37</v>
      </c>
      <c r="N38" s="4" t="s">
        <v>16</v>
      </c>
      <c r="O38" s="33">
        <f t="shared" si="0"/>
        <v>0.10772626931567329</v>
      </c>
      <c r="P38" s="92">
        <f>(_xlfn.XLOOKUP(Table1__3[[#This Row],[Campaign_Name]],Table3[Campaign_Name],Table3[Start_Date]))</f>
        <v>45667</v>
      </c>
      <c r="Q38" s="92">
        <f>(_xlfn.XLOOKUP(Table1__3[[#This Row],[Campaign_Name]],Table3[Campaign_Name],Table3[End_Date]))</f>
        <v>45698</v>
      </c>
      <c r="R38" s="4" t="str">
        <f>IF(Table1__3[[#This Row],[Date]] &lt; Table1__3[[#This Row],[Start_Date]], "Before",
   IF(AND(Table1__3[[#This Row],[Date]] &gt;= Table1__3[[#This Row],[Start_Date]], Table1__3[[#This Row],[Date]] &lt;= Table1__3[[#This Row],[End_Date]]), "During",
   "After"))</f>
        <v>After</v>
      </c>
      <c r="S38" s="31"/>
      <c r="T38" s="31"/>
    </row>
    <row r="39" spans="1:20">
      <c r="A39" s="4" t="s">
        <v>72</v>
      </c>
      <c r="B39" s="4" t="s">
        <v>13</v>
      </c>
      <c r="C39" s="92">
        <v>45545</v>
      </c>
      <c r="D39" s="4" t="s">
        <v>23</v>
      </c>
      <c r="E39" s="4" t="s">
        <v>24</v>
      </c>
      <c r="F39">
        <v>1230</v>
      </c>
      <c r="G39">
        <v>309</v>
      </c>
      <c r="H39">
        <v>207</v>
      </c>
      <c r="I39">
        <v>44629</v>
      </c>
      <c r="J39">
        <v>40699</v>
      </c>
      <c r="K39">
        <v>195</v>
      </c>
      <c r="L39" s="4" t="s">
        <v>37</v>
      </c>
      <c r="M39" s="4"/>
      <c r="N39" s="4" t="s">
        <v>50</v>
      </c>
      <c r="O39" s="33">
        <f t="shared" si="0"/>
        <v>3.9122543637545096E-2</v>
      </c>
      <c r="P39" s="92">
        <f>(_xlfn.XLOOKUP(Table1__3[[#This Row],[Campaign_Name]],Table3[Campaign_Name],Table3[Start_Date]))</f>
        <v>45627</v>
      </c>
      <c r="Q39" s="92">
        <f>(_xlfn.XLOOKUP(Table1__3[[#This Row],[Campaign_Name]],Table3[Campaign_Name],Table3[End_Date]))</f>
        <v>45657</v>
      </c>
      <c r="R39" s="4" t="str">
        <f>IF(Table1__3[[#This Row],[Date]] &lt; Table1__3[[#This Row],[Start_Date]], "Before",
   IF(AND(Table1__3[[#This Row],[Date]] &gt;= Table1__3[[#This Row],[Start_Date]], Table1__3[[#This Row],[Date]] &lt;= Table1__3[[#This Row],[End_Date]]), "During",
   "After"))</f>
        <v>Before</v>
      </c>
      <c r="S39" s="31"/>
      <c r="T39" s="31"/>
    </row>
    <row r="40" spans="1:20">
      <c r="A40" s="4" t="s">
        <v>73</v>
      </c>
      <c r="B40" s="4" t="s">
        <v>13</v>
      </c>
      <c r="C40" s="92">
        <v>45621</v>
      </c>
      <c r="D40" s="4" t="s">
        <v>14</v>
      </c>
      <c r="E40" s="4" t="s">
        <v>44</v>
      </c>
      <c r="F40">
        <v>1341</v>
      </c>
      <c r="G40">
        <v>472</v>
      </c>
      <c r="H40">
        <v>238</v>
      </c>
      <c r="I40">
        <v>51386</v>
      </c>
      <c r="J40">
        <v>51706</v>
      </c>
      <c r="K40">
        <v>133</v>
      </c>
      <c r="L40" s="4" t="s">
        <v>19</v>
      </c>
      <c r="M40" s="4"/>
      <c r="N40" s="4" t="s">
        <v>20</v>
      </c>
      <c r="O40" s="33">
        <f t="shared" si="0"/>
        <v>3.9913595142645857E-2</v>
      </c>
      <c r="P40" s="92">
        <f>(_xlfn.XLOOKUP(Table1__3[[#This Row],[Campaign_Name]],Table3[Campaign_Name],Table3[Start_Date]))</f>
        <v>45717</v>
      </c>
      <c r="Q40" s="92">
        <f>(_xlfn.XLOOKUP(Table1__3[[#This Row],[Campaign_Name]],Table3[Campaign_Name],Table3[End_Date]))</f>
        <v>45747</v>
      </c>
      <c r="R40" s="4" t="str">
        <f>IF(Table1__3[[#This Row],[Date]] &lt; Table1__3[[#This Row],[Start_Date]], "Before",
   IF(AND(Table1__3[[#This Row],[Date]] &gt;= Table1__3[[#This Row],[Start_Date]], Table1__3[[#This Row],[Date]] &lt;= Table1__3[[#This Row],[End_Date]]), "During",
   "After"))</f>
        <v>Before</v>
      </c>
      <c r="S40" s="31"/>
      <c r="T40" s="31"/>
    </row>
    <row r="41" spans="1:20">
      <c r="A41" s="4" t="s">
        <v>74</v>
      </c>
      <c r="B41" s="4" t="s">
        <v>22</v>
      </c>
      <c r="C41" s="92">
        <v>45818</v>
      </c>
      <c r="D41" s="4" t="s">
        <v>14</v>
      </c>
      <c r="E41" s="4" t="s">
        <v>18</v>
      </c>
      <c r="F41">
        <v>3615</v>
      </c>
      <c r="G41">
        <v>192</v>
      </c>
      <c r="H41">
        <v>162</v>
      </c>
      <c r="I41">
        <v>27492</v>
      </c>
      <c r="J41">
        <v>35341</v>
      </c>
      <c r="K41">
        <v>125</v>
      </c>
      <c r="L41" s="4" t="s">
        <v>37</v>
      </c>
      <c r="M41" s="4"/>
      <c r="N41" s="4" t="s">
        <v>16</v>
      </c>
      <c r="O41" s="33">
        <f t="shared" si="0"/>
        <v>0.14436927106067218</v>
      </c>
      <c r="P41" s="92">
        <f>(_xlfn.XLOOKUP(Table1__3[[#This Row],[Campaign_Name]],Table3[Campaign_Name],Table3[Start_Date]))</f>
        <v>45667</v>
      </c>
      <c r="Q41" s="92">
        <f>(_xlfn.XLOOKUP(Table1__3[[#This Row],[Campaign_Name]],Table3[Campaign_Name],Table3[End_Date]))</f>
        <v>45698</v>
      </c>
      <c r="R41" s="4" t="str">
        <f>IF(Table1__3[[#This Row],[Date]] &lt; Table1__3[[#This Row],[Start_Date]], "Before",
   IF(AND(Table1__3[[#This Row],[Date]] &gt;= Table1__3[[#This Row],[Start_Date]], Table1__3[[#This Row],[Date]] &lt;= Table1__3[[#This Row],[End_Date]]), "During",
   "After"))</f>
        <v>After</v>
      </c>
      <c r="S41" s="31"/>
      <c r="T41" s="31"/>
    </row>
    <row r="42" spans="1:20">
      <c r="A42" s="4" t="s">
        <v>75</v>
      </c>
      <c r="B42" s="4" t="s">
        <v>13</v>
      </c>
      <c r="C42" s="92">
        <v>45401</v>
      </c>
      <c r="D42" s="4" t="s">
        <v>14</v>
      </c>
      <c r="E42" s="4" t="s">
        <v>24</v>
      </c>
      <c r="F42">
        <v>4001</v>
      </c>
      <c r="G42">
        <v>353</v>
      </c>
      <c r="H42">
        <v>129</v>
      </c>
      <c r="I42">
        <v>41265</v>
      </c>
      <c r="J42">
        <v>37279</v>
      </c>
      <c r="K42">
        <v>275</v>
      </c>
      <c r="L42" s="4" t="s">
        <v>40</v>
      </c>
      <c r="M42" s="4" t="s">
        <v>37</v>
      </c>
      <c r="N42" s="4" t="s">
        <v>16</v>
      </c>
      <c r="O42" s="33">
        <f t="shared" si="0"/>
        <v>0.10863928268508422</v>
      </c>
      <c r="P42" s="92">
        <f>(_xlfn.XLOOKUP(Table1__3[[#This Row],[Campaign_Name]],Table3[Campaign_Name],Table3[Start_Date]))</f>
        <v>45667</v>
      </c>
      <c r="Q42" s="92">
        <f>(_xlfn.XLOOKUP(Table1__3[[#This Row],[Campaign_Name]],Table3[Campaign_Name],Table3[End_Date]))</f>
        <v>45698</v>
      </c>
      <c r="R42" s="4" t="str">
        <f>IF(Table1__3[[#This Row],[Date]] &lt; Table1__3[[#This Row],[Start_Date]], "Before",
   IF(AND(Table1__3[[#This Row],[Date]] &gt;= Table1__3[[#This Row],[Start_Date]], Table1__3[[#This Row],[Date]] &lt;= Table1__3[[#This Row],[End_Date]]), "During",
   "After"))</f>
        <v>Before</v>
      </c>
      <c r="S42" s="31"/>
      <c r="T42" s="31"/>
    </row>
    <row r="43" spans="1:20">
      <c r="A43" s="4" t="s">
        <v>76</v>
      </c>
      <c r="B43" s="4" t="s">
        <v>13</v>
      </c>
      <c r="C43" s="92">
        <v>45683</v>
      </c>
      <c r="D43" s="4" t="s">
        <v>23</v>
      </c>
      <c r="E43" s="4" t="s">
        <v>31</v>
      </c>
      <c r="F43">
        <v>3451</v>
      </c>
      <c r="G43">
        <v>363</v>
      </c>
      <c r="H43">
        <v>393</v>
      </c>
      <c r="I43">
        <v>44853</v>
      </c>
      <c r="J43">
        <v>69032</v>
      </c>
      <c r="K43">
        <v>211</v>
      </c>
      <c r="L43" s="4" t="s">
        <v>37</v>
      </c>
      <c r="M43" s="4"/>
      <c r="N43" s="4" t="s">
        <v>50</v>
      </c>
      <c r="O43" s="33">
        <f t="shared" si="0"/>
        <v>9.379528682585335E-2</v>
      </c>
      <c r="P43" s="92">
        <f>(_xlfn.XLOOKUP(Table1__3[[#This Row],[Campaign_Name]],Table3[Campaign_Name],Table3[Start_Date]))</f>
        <v>45627</v>
      </c>
      <c r="Q43" s="92">
        <f>(_xlfn.XLOOKUP(Table1__3[[#This Row],[Campaign_Name]],Table3[Campaign_Name],Table3[End_Date]))</f>
        <v>45657</v>
      </c>
      <c r="R43" s="4" t="str">
        <f>IF(Table1__3[[#This Row],[Date]] &lt; Table1__3[[#This Row],[Start_Date]], "Before",
   IF(AND(Table1__3[[#This Row],[Date]] &gt;= Table1__3[[#This Row],[Start_Date]], Table1__3[[#This Row],[Date]] &lt;= Table1__3[[#This Row],[End_Date]]), "During",
   "After"))</f>
        <v>After</v>
      </c>
      <c r="S43" s="31"/>
      <c r="T43" s="31"/>
    </row>
    <row r="44" spans="1:20">
      <c r="A44" s="4" t="s">
        <v>77</v>
      </c>
      <c r="B44" s="4" t="s">
        <v>13</v>
      </c>
      <c r="C44" s="92">
        <v>45702</v>
      </c>
      <c r="D44" s="4" t="s">
        <v>14</v>
      </c>
      <c r="E44" s="4" t="s">
        <v>36</v>
      </c>
      <c r="F44">
        <v>4891</v>
      </c>
      <c r="G44">
        <v>450</v>
      </c>
      <c r="H44">
        <v>387</v>
      </c>
      <c r="I44">
        <v>48746</v>
      </c>
      <c r="J44">
        <v>37312</v>
      </c>
      <c r="K44">
        <v>154</v>
      </c>
      <c r="L44" s="4" t="s">
        <v>40</v>
      </c>
      <c r="M44" s="4" t="s">
        <v>37</v>
      </c>
      <c r="N44" s="4" t="s">
        <v>16</v>
      </c>
      <c r="O44" s="33">
        <f t="shared" si="0"/>
        <v>0.11750707750379519</v>
      </c>
      <c r="P44" s="92">
        <f>(_xlfn.XLOOKUP(Table1__3[[#This Row],[Campaign_Name]],Table3[Campaign_Name],Table3[Start_Date]))</f>
        <v>45667</v>
      </c>
      <c r="Q44" s="92">
        <f>(_xlfn.XLOOKUP(Table1__3[[#This Row],[Campaign_Name]],Table3[Campaign_Name],Table3[End_Date]))</f>
        <v>45698</v>
      </c>
      <c r="R44" s="4" t="str">
        <f>IF(Table1__3[[#This Row],[Date]] &lt; Table1__3[[#This Row],[Start_Date]], "Before",
   IF(AND(Table1__3[[#This Row],[Date]] &gt;= Table1__3[[#This Row],[Start_Date]], Table1__3[[#This Row],[Date]] &lt;= Table1__3[[#This Row],[End_Date]]), "During",
   "After"))</f>
        <v>After</v>
      </c>
      <c r="S44" s="31"/>
      <c r="T44" s="31"/>
    </row>
    <row r="45" spans="1:20">
      <c r="A45" s="4" t="s">
        <v>78</v>
      </c>
      <c r="B45" s="4" t="s">
        <v>13</v>
      </c>
      <c r="C45" s="92">
        <v>45541</v>
      </c>
      <c r="D45" s="4" t="s">
        <v>14</v>
      </c>
      <c r="E45" s="4" t="s">
        <v>24</v>
      </c>
      <c r="F45">
        <v>1452</v>
      </c>
      <c r="G45">
        <v>281</v>
      </c>
      <c r="H45">
        <v>326</v>
      </c>
      <c r="I45">
        <v>51556</v>
      </c>
      <c r="J45">
        <v>62599</v>
      </c>
      <c r="K45">
        <v>290</v>
      </c>
      <c r="L45" s="4" t="s">
        <v>19</v>
      </c>
      <c r="M45" s="4"/>
      <c r="N45" s="4" t="s">
        <v>20</v>
      </c>
      <c r="O45" s="33">
        <f t="shared" si="0"/>
        <v>3.9937155714174881E-2</v>
      </c>
      <c r="P45" s="92">
        <f>(_xlfn.XLOOKUP(Table1__3[[#This Row],[Campaign_Name]],Table3[Campaign_Name],Table3[Start_Date]))</f>
        <v>45717</v>
      </c>
      <c r="Q45" s="92">
        <f>(_xlfn.XLOOKUP(Table1__3[[#This Row],[Campaign_Name]],Table3[Campaign_Name],Table3[End_Date]))</f>
        <v>45747</v>
      </c>
      <c r="R45" s="4" t="str">
        <f>IF(Table1__3[[#This Row],[Date]] &lt; Table1__3[[#This Row],[Start_Date]], "Before",
   IF(AND(Table1__3[[#This Row],[Date]] &gt;= Table1__3[[#This Row],[Start_Date]], Table1__3[[#This Row],[Date]] &lt;= Table1__3[[#This Row],[End_Date]]), "During",
   "After"))</f>
        <v>Before</v>
      </c>
      <c r="S45" s="31"/>
      <c r="T45" s="31"/>
    </row>
    <row r="46" spans="1:20">
      <c r="A46" s="4" t="s">
        <v>79</v>
      </c>
      <c r="B46" s="4" t="s">
        <v>28</v>
      </c>
      <c r="C46" s="92">
        <v>45487</v>
      </c>
      <c r="D46" s="4" t="s">
        <v>14</v>
      </c>
      <c r="E46" s="4" t="s">
        <v>46</v>
      </c>
      <c r="F46">
        <v>3806</v>
      </c>
      <c r="G46">
        <v>114</v>
      </c>
      <c r="H46">
        <v>278</v>
      </c>
      <c r="I46">
        <v>36148</v>
      </c>
      <c r="J46">
        <v>24209</v>
      </c>
      <c r="K46">
        <v>201</v>
      </c>
      <c r="L46" s="4" t="s">
        <v>19</v>
      </c>
      <c r="M46" s="4" t="s">
        <v>364</v>
      </c>
      <c r="N46" s="4" t="s">
        <v>20</v>
      </c>
      <c r="O46" s="33">
        <f t="shared" si="0"/>
        <v>0.11613367267898639</v>
      </c>
      <c r="P46" s="92">
        <f>(_xlfn.XLOOKUP(Table1__3[[#This Row],[Campaign_Name]],Table3[Campaign_Name],Table3[Start_Date]))</f>
        <v>45717</v>
      </c>
      <c r="Q46" s="92">
        <f>(_xlfn.XLOOKUP(Table1__3[[#This Row],[Campaign_Name]],Table3[Campaign_Name],Table3[End_Date]))</f>
        <v>45747</v>
      </c>
      <c r="R46" s="4" t="str">
        <f>IF(Table1__3[[#This Row],[Date]] &lt; Table1__3[[#This Row],[Start_Date]], "Before",
   IF(AND(Table1__3[[#This Row],[Date]] &gt;= Table1__3[[#This Row],[Start_Date]], Table1__3[[#This Row],[Date]] &lt;= Table1__3[[#This Row],[End_Date]]), "During",
   "After"))</f>
        <v>Before</v>
      </c>
      <c r="S46" s="31"/>
      <c r="T46" s="31"/>
    </row>
    <row r="47" spans="1:20">
      <c r="A47" s="4" t="s">
        <v>80</v>
      </c>
      <c r="B47" s="4" t="s">
        <v>13</v>
      </c>
      <c r="C47" s="92">
        <v>45334</v>
      </c>
      <c r="D47" s="4" t="s">
        <v>14</v>
      </c>
      <c r="E47" s="4" t="s">
        <v>18</v>
      </c>
      <c r="F47">
        <v>2923</v>
      </c>
      <c r="G47">
        <v>330</v>
      </c>
      <c r="H47">
        <v>250</v>
      </c>
      <c r="I47">
        <v>23993</v>
      </c>
      <c r="J47">
        <v>74590</v>
      </c>
      <c r="K47">
        <v>92</v>
      </c>
      <c r="L47" s="4" t="s">
        <v>19</v>
      </c>
      <c r="M47" s="4"/>
      <c r="N47" s="4" t="s">
        <v>20</v>
      </c>
      <c r="O47" s="33">
        <f t="shared" si="0"/>
        <v>0.14600091693410577</v>
      </c>
      <c r="P47" s="92">
        <f>(_xlfn.XLOOKUP(Table1__3[[#This Row],[Campaign_Name]],Table3[Campaign_Name],Table3[Start_Date]))</f>
        <v>45717</v>
      </c>
      <c r="Q47" s="92">
        <f>(_xlfn.XLOOKUP(Table1__3[[#This Row],[Campaign_Name]],Table3[Campaign_Name],Table3[End_Date]))</f>
        <v>45747</v>
      </c>
      <c r="R47" s="4" t="str">
        <f>IF(Table1__3[[#This Row],[Date]] &lt; Table1__3[[#This Row],[Start_Date]], "Before",
   IF(AND(Table1__3[[#This Row],[Date]] &gt;= Table1__3[[#This Row],[Start_Date]], Table1__3[[#This Row],[Date]] &lt;= Table1__3[[#This Row],[End_Date]]), "During",
   "After"))</f>
        <v>Before</v>
      </c>
      <c r="S47" s="31"/>
      <c r="T47" s="31"/>
    </row>
    <row r="48" spans="1:20">
      <c r="A48" s="4" t="s">
        <v>81</v>
      </c>
      <c r="B48" s="4" t="s">
        <v>28</v>
      </c>
      <c r="C48" s="92">
        <v>45365</v>
      </c>
      <c r="D48" s="4" t="s">
        <v>52</v>
      </c>
      <c r="E48" s="4" t="s">
        <v>44</v>
      </c>
      <c r="F48">
        <v>3361</v>
      </c>
      <c r="G48">
        <v>188</v>
      </c>
      <c r="H48">
        <v>358</v>
      </c>
      <c r="I48">
        <v>39838</v>
      </c>
      <c r="J48">
        <v>24536</v>
      </c>
      <c r="K48">
        <v>120</v>
      </c>
      <c r="L48" s="4" t="s">
        <v>19</v>
      </c>
      <c r="M48" s="4" t="s">
        <v>40</v>
      </c>
      <c r="N48" s="4" t="s">
        <v>53</v>
      </c>
      <c r="O48" s="33">
        <f t="shared" si="0"/>
        <v>9.8072192379135503E-2</v>
      </c>
      <c r="P48" s="92">
        <f>(_xlfn.XLOOKUP(Table1__3[[#This Row],[Campaign_Name]],Table3[Campaign_Name],Table3[Start_Date]))</f>
        <v>45458</v>
      </c>
      <c r="Q48" s="92">
        <f>(_xlfn.XLOOKUP(Table1__3[[#This Row],[Campaign_Name]],Table3[Campaign_Name],Table3[End_Date]))</f>
        <v>45488</v>
      </c>
      <c r="R48" s="4" t="str">
        <f>IF(Table1__3[[#This Row],[Date]] &lt; Table1__3[[#This Row],[Start_Date]], "Before",
   IF(AND(Table1__3[[#This Row],[Date]] &gt;= Table1__3[[#This Row],[Start_Date]], Table1__3[[#This Row],[Date]] &lt;= Table1__3[[#This Row],[End_Date]]), "During",
   "After"))</f>
        <v>Before</v>
      </c>
      <c r="S48" s="31"/>
      <c r="T48" s="31"/>
    </row>
    <row r="49" spans="1:20">
      <c r="A49" s="4" t="s">
        <v>82</v>
      </c>
      <c r="B49" s="4" t="s">
        <v>13</v>
      </c>
      <c r="C49" s="92">
        <v>45693</v>
      </c>
      <c r="D49" s="4" t="s">
        <v>23</v>
      </c>
      <c r="E49" s="4" t="s">
        <v>29</v>
      </c>
      <c r="F49">
        <v>3074</v>
      </c>
      <c r="G49">
        <v>371</v>
      </c>
      <c r="H49">
        <v>348</v>
      </c>
      <c r="I49">
        <v>24104</v>
      </c>
      <c r="J49">
        <v>57803</v>
      </c>
      <c r="K49">
        <v>213</v>
      </c>
      <c r="L49" s="4" t="s">
        <v>37</v>
      </c>
      <c r="M49" s="4"/>
      <c r="N49" s="4" t="s">
        <v>50</v>
      </c>
      <c r="O49" s="33">
        <f t="shared" si="0"/>
        <v>0.15735977431131762</v>
      </c>
      <c r="P49" s="92">
        <f>(_xlfn.XLOOKUP(Table1__3[[#This Row],[Campaign_Name]],Table3[Campaign_Name],Table3[Start_Date]))</f>
        <v>45627</v>
      </c>
      <c r="Q49" s="92">
        <f>(_xlfn.XLOOKUP(Table1__3[[#This Row],[Campaign_Name]],Table3[Campaign_Name],Table3[End_Date]))</f>
        <v>45657</v>
      </c>
      <c r="R49" s="4" t="str">
        <f>IF(Table1__3[[#This Row],[Date]] &lt; Table1__3[[#This Row],[Start_Date]], "Before",
   IF(AND(Table1__3[[#This Row],[Date]] &gt;= Table1__3[[#This Row],[Start_Date]], Table1__3[[#This Row],[Date]] &lt;= Table1__3[[#This Row],[End_Date]]), "During",
   "After"))</f>
        <v>After</v>
      </c>
      <c r="S49" s="31"/>
      <c r="T49" s="31"/>
    </row>
    <row r="50" spans="1:20">
      <c r="A50" s="4" t="s">
        <v>83</v>
      </c>
      <c r="B50" s="4" t="s">
        <v>22</v>
      </c>
      <c r="C50" s="92">
        <v>45533</v>
      </c>
      <c r="D50" s="4" t="s">
        <v>23</v>
      </c>
      <c r="E50" s="4" t="s">
        <v>33</v>
      </c>
      <c r="F50">
        <v>4276</v>
      </c>
      <c r="G50">
        <v>227</v>
      </c>
      <c r="H50">
        <v>223</v>
      </c>
      <c r="I50">
        <v>43443</v>
      </c>
      <c r="J50">
        <v>41005</v>
      </c>
      <c r="K50">
        <v>191</v>
      </c>
      <c r="L50" s="4" t="s">
        <v>19</v>
      </c>
      <c r="M50" s="4" t="s">
        <v>363</v>
      </c>
      <c r="N50" s="4" t="s">
        <v>16</v>
      </c>
      <c r="O50" s="33">
        <f t="shared" si="0"/>
        <v>0.1087862256289851</v>
      </c>
      <c r="P50" s="92">
        <f>(_xlfn.XLOOKUP(Table1__3[[#This Row],[Campaign_Name]],Table3[Campaign_Name],Table3[Start_Date]))</f>
        <v>45667</v>
      </c>
      <c r="Q50" s="92">
        <f>(_xlfn.XLOOKUP(Table1__3[[#This Row],[Campaign_Name]],Table3[Campaign_Name],Table3[End_Date]))</f>
        <v>45698</v>
      </c>
      <c r="R50" s="4" t="str">
        <f>IF(Table1__3[[#This Row],[Date]] &lt; Table1__3[[#This Row],[Start_Date]], "Before",
   IF(AND(Table1__3[[#This Row],[Date]] &gt;= Table1__3[[#This Row],[Start_Date]], Table1__3[[#This Row],[Date]] &lt;= Table1__3[[#This Row],[End_Date]]), "During",
   "After"))</f>
        <v>Before</v>
      </c>
      <c r="S50" s="31"/>
      <c r="T50" s="31"/>
    </row>
    <row r="51" spans="1:20">
      <c r="A51" s="4" t="s">
        <v>84</v>
      </c>
      <c r="B51" s="4" t="s">
        <v>22</v>
      </c>
      <c r="C51" s="92">
        <v>45769</v>
      </c>
      <c r="D51" s="4" t="s">
        <v>14</v>
      </c>
      <c r="E51" s="4" t="s">
        <v>15</v>
      </c>
      <c r="F51">
        <v>4401</v>
      </c>
      <c r="G51">
        <v>421</v>
      </c>
      <c r="H51">
        <v>216</v>
      </c>
      <c r="I51">
        <v>24890</v>
      </c>
      <c r="J51">
        <v>54361</v>
      </c>
      <c r="K51">
        <v>148</v>
      </c>
      <c r="L51" s="4" t="s">
        <v>37</v>
      </c>
      <c r="M51" s="4"/>
      <c r="N51" s="4" t="s">
        <v>16</v>
      </c>
      <c r="O51" s="33">
        <f t="shared" si="0"/>
        <v>0.20241060666934513</v>
      </c>
      <c r="P51" s="92">
        <f>(_xlfn.XLOOKUP(Table1__3[[#This Row],[Campaign_Name]],Table3[Campaign_Name],Table3[Start_Date]))</f>
        <v>45667</v>
      </c>
      <c r="Q51" s="92">
        <f>(_xlfn.XLOOKUP(Table1__3[[#This Row],[Campaign_Name]],Table3[Campaign_Name],Table3[End_Date]))</f>
        <v>45698</v>
      </c>
      <c r="R51" s="4" t="str">
        <f>IF(Table1__3[[#This Row],[Date]] &lt; Table1__3[[#This Row],[Start_Date]], "Before",
   IF(AND(Table1__3[[#This Row],[Date]] &gt;= Table1__3[[#This Row],[Start_Date]], Table1__3[[#This Row],[Date]] &lt;= Table1__3[[#This Row],[End_Date]]), "During",
   "After"))</f>
        <v>After</v>
      </c>
      <c r="S51" s="31"/>
      <c r="T51" s="31"/>
    </row>
    <row r="52" spans="1:20">
      <c r="A52" s="4" t="s">
        <v>85</v>
      </c>
      <c r="B52" s="4" t="s">
        <v>28</v>
      </c>
      <c r="C52" s="92">
        <v>45425</v>
      </c>
      <c r="D52" s="4" t="s">
        <v>52</v>
      </c>
      <c r="E52" s="4" t="s">
        <v>18</v>
      </c>
      <c r="F52">
        <v>4161</v>
      </c>
      <c r="G52">
        <v>481</v>
      </c>
      <c r="H52">
        <v>61</v>
      </c>
      <c r="I52">
        <v>45884</v>
      </c>
      <c r="J52">
        <v>48955</v>
      </c>
      <c r="K52">
        <v>215</v>
      </c>
      <c r="L52" s="4" t="s">
        <v>19</v>
      </c>
      <c r="M52" s="4" t="s">
        <v>40</v>
      </c>
      <c r="N52" s="4" t="s">
        <v>53</v>
      </c>
      <c r="O52" s="33">
        <f t="shared" si="0"/>
        <v>0.10249760265016128</v>
      </c>
      <c r="P52" s="92">
        <f>(_xlfn.XLOOKUP(Table1__3[[#This Row],[Campaign_Name]],Table3[Campaign_Name],Table3[Start_Date]))</f>
        <v>45458</v>
      </c>
      <c r="Q52" s="92">
        <f>(_xlfn.XLOOKUP(Table1__3[[#This Row],[Campaign_Name]],Table3[Campaign_Name],Table3[End_Date]))</f>
        <v>45488</v>
      </c>
      <c r="R52" s="4" t="str">
        <f>IF(Table1__3[[#This Row],[Date]] &lt; Table1__3[[#This Row],[Start_Date]], "Before",
   IF(AND(Table1__3[[#This Row],[Date]] &gt;= Table1__3[[#This Row],[Start_Date]], Table1__3[[#This Row],[Date]] &lt;= Table1__3[[#This Row],[End_Date]]), "During",
   "After"))</f>
        <v>Before</v>
      </c>
      <c r="S52" s="31"/>
      <c r="T52" s="31"/>
    </row>
    <row r="53" spans="1:20">
      <c r="A53" s="4" t="s">
        <v>86</v>
      </c>
      <c r="B53" s="4" t="s">
        <v>22</v>
      </c>
      <c r="C53" s="92">
        <v>45539</v>
      </c>
      <c r="D53" s="4" t="s">
        <v>23</v>
      </c>
      <c r="E53" s="4" t="s">
        <v>24</v>
      </c>
      <c r="F53">
        <v>2613</v>
      </c>
      <c r="G53">
        <v>455</v>
      </c>
      <c r="H53">
        <v>228</v>
      </c>
      <c r="I53">
        <v>21645</v>
      </c>
      <c r="J53">
        <v>61334</v>
      </c>
      <c r="K53">
        <v>261</v>
      </c>
      <c r="L53" s="4" t="s">
        <v>19</v>
      </c>
      <c r="M53" s="4" t="s">
        <v>363</v>
      </c>
      <c r="N53" s="4" t="s">
        <v>16</v>
      </c>
      <c r="O53" s="33">
        <f t="shared" si="0"/>
        <v>0.15227535227535227</v>
      </c>
      <c r="P53" s="92">
        <f>(_xlfn.XLOOKUP(Table1__3[[#This Row],[Campaign_Name]],Table3[Campaign_Name],Table3[Start_Date]))</f>
        <v>45667</v>
      </c>
      <c r="Q53" s="92">
        <f>(_xlfn.XLOOKUP(Table1__3[[#This Row],[Campaign_Name]],Table3[Campaign_Name],Table3[End_Date]))</f>
        <v>45698</v>
      </c>
      <c r="R53" s="4" t="str">
        <f>IF(Table1__3[[#This Row],[Date]] &lt; Table1__3[[#This Row],[Start_Date]], "Before",
   IF(AND(Table1__3[[#This Row],[Date]] &gt;= Table1__3[[#This Row],[Start_Date]], Table1__3[[#This Row],[Date]] &lt;= Table1__3[[#This Row],[End_Date]]), "During",
   "After"))</f>
        <v>Before</v>
      </c>
      <c r="S53" s="31"/>
      <c r="T53" s="31"/>
    </row>
    <row r="54" spans="1:20">
      <c r="A54" s="4" t="s">
        <v>87</v>
      </c>
      <c r="B54" s="4" t="s">
        <v>22</v>
      </c>
      <c r="C54" s="92">
        <v>45516</v>
      </c>
      <c r="D54" s="4" t="s">
        <v>23</v>
      </c>
      <c r="E54" s="4" t="s">
        <v>31</v>
      </c>
      <c r="F54">
        <v>2842</v>
      </c>
      <c r="G54">
        <v>213</v>
      </c>
      <c r="H54">
        <v>331</v>
      </c>
      <c r="I54">
        <v>57660</v>
      </c>
      <c r="J54">
        <v>68606</v>
      </c>
      <c r="K54">
        <v>87</v>
      </c>
      <c r="L54" s="4" t="s">
        <v>363</v>
      </c>
      <c r="M54" s="4" t="s">
        <v>37</v>
      </c>
      <c r="N54" s="4" t="s">
        <v>16</v>
      </c>
      <c r="O54" s="33">
        <f t="shared" si="0"/>
        <v>5.8723551855705859E-2</v>
      </c>
      <c r="P54" s="92">
        <f>(_xlfn.XLOOKUP(Table1__3[[#This Row],[Campaign_Name]],Table3[Campaign_Name],Table3[Start_Date]))</f>
        <v>45667</v>
      </c>
      <c r="Q54" s="92">
        <f>(_xlfn.XLOOKUP(Table1__3[[#This Row],[Campaign_Name]],Table3[Campaign_Name],Table3[End_Date]))</f>
        <v>45698</v>
      </c>
      <c r="R54" s="4" t="str">
        <f>IF(Table1__3[[#This Row],[Date]] &lt; Table1__3[[#This Row],[Start_Date]], "Before",
   IF(AND(Table1__3[[#This Row],[Date]] &gt;= Table1__3[[#This Row],[Start_Date]], Table1__3[[#This Row],[Date]] &lt;= Table1__3[[#This Row],[End_Date]]), "During",
   "After"))</f>
        <v>Before</v>
      </c>
      <c r="S54" s="31"/>
      <c r="T54" s="31"/>
    </row>
    <row r="55" spans="1:20">
      <c r="A55" s="4" t="s">
        <v>88</v>
      </c>
      <c r="B55" s="4" t="s">
        <v>13</v>
      </c>
      <c r="C55" s="92">
        <v>45722</v>
      </c>
      <c r="D55" s="4" t="s">
        <v>14</v>
      </c>
      <c r="E55" s="4" t="s">
        <v>33</v>
      </c>
      <c r="F55">
        <v>4851</v>
      </c>
      <c r="G55">
        <v>460</v>
      </c>
      <c r="H55">
        <v>212</v>
      </c>
      <c r="I55">
        <v>58075</v>
      </c>
      <c r="J55">
        <v>59574</v>
      </c>
      <c r="K55">
        <v>239</v>
      </c>
      <c r="L55" s="4" t="s">
        <v>19</v>
      </c>
      <c r="M55" s="4"/>
      <c r="N55" s="4" t="s">
        <v>20</v>
      </c>
      <c r="O55" s="33">
        <f t="shared" si="0"/>
        <v>9.5101162290142052E-2</v>
      </c>
      <c r="P55" s="92">
        <f>(_xlfn.XLOOKUP(Table1__3[[#This Row],[Campaign_Name]],Table3[Campaign_Name],Table3[Start_Date]))</f>
        <v>45717</v>
      </c>
      <c r="Q55" s="92">
        <f>(_xlfn.XLOOKUP(Table1__3[[#This Row],[Campaign_Name]],Table3[Campaign_Name],Table3[End_Date]))</f>
        <v>45747</v>
      </c>
      <c r="R55" s="4" t="str">
        <f>IF(Table1__3[[#This Row],[Date]] &lt; Table1__3[[#This Row],[Start_Date]], "Before",
   IF(AND(Table1__3[[#This Row],[Date]] &gt;= Table1__3[[#This Row],[Start_Date]], Table1__3[[#This Row],[Date]] &lt;= Table1__3[[#This Row],[End_Date]]), "During",
   "After"))</f>
        <v>During</v>
      </c>
      <c r="S55" s="31"/>
      <c r="T55" s="31"/>
    </row>
    <row r="56" spans="1:20">
      <c r="A56" s="4" t="s">
        <v>89</v>
      </c>
      <c r="B56" s="4" t="s">
        <v>22</v>
      </c>
      <c r="C56" s="92">
        <v>45420</v>
      </c>
      <c r="D56" s="4" t="s">
        <v>14</v>
      </c>
      <c r="E56" s="4" t="s">
        <v>18</v>
      </c>
      <c r="F56">
        <v>1828</v>
      </c>
      <c r="G56">
        <v>450</v>
      </c>
      <c r="H56">
        <v>214</v>
      </c>
      <c r="I56">
        <v>52115</v>
      </c>
      <c r="J56">
        <v>19166</v>
      </c>
      <c r="K56">
        <v>190</v>
      </c>
      <c r="L56" s="4" t="s">
        <v>37</v>
      </c>
      <c r="M56" s="4"/>
      <c r="N56" s="4" t="s">
        <v>16</v>
      </c>
      <c r="O56" s="33">
        <f t="shared" si="0"/>
        <v>4.781732706514439E-2</v>
      </c>
      <c r="P56" s="92">
        <f>(_xlfn.XLOOKUP(Table1__3[[#This Row],[Campaign_Name]],Table3[Campaign_Name],Table3[Start_Date]))</f>
        <v>45667</v>
      </c>
      <c r="Q56" s="92">
        <f>(_xlfn.XLOOKUP(Table1__3[[#This Row],[Campaign_Name]],Table3[Campaign_Name],Table3[End_Date]))</f>
        <v>45698</v>
      </c>
      <c r="R56" s="4" t="str">
        <f>IF(Table1__3[[#This Row],[Date]] &lt; Table1__3[[#This Row],[Start_Date]], "Before",
   IF(AND(Table1__3[[#This Row],[Date]] &gt;= Table1__3[[#This Row],[Start_Date]], Table1__3[[#This Row],[Date]] &lt;= Table1__3[[#This Row],[End_Date]]), "During",
   "After"))</f>
        <v>Before</v>
      </c>
      <c r="S56" s="31"/>
      <c r="T56" s="31"/>
    </row>
    <row r="57" spans="1:20">
      <c r="A57" s="4" t="s">
        <v>90</v>
      </c>
      <c r="B57" s="4" t="s">
        <v>13</v>
      </c>
      <c r="C57" s="92">
        <v>45707</v>
      </c>
      <c r="D57" s="4" t="s">
        <v>23</v>
      </c>
      <c r="E57" s="4" t="s">
        <v>44</v>
      </c>
      <c r="F57">
        <v>2422</v>
      </c>
      <c r="G57">
        <v>455</v>
      </c>
      <c r="H57">
        <v>376</v>
      </c>
      <c r="I57">
        <v>23428</v>
      </c>
      <c r="J57">
        <v>46775</v>
      </c>
      <c r="K57">
        <v>259</v>
      </c>
      <c r="L57" s="4" t="s">
        <v>37</v>
      </c>
      <c r="M57" s="4"/>
      <c r="N57" s="4" t="s">
        <v>50</v>
      </c>
      <c r="O57" s="33">
        <f t="shared" si="0"/>
        <v>0.13885094758408742</v>
      </c>
      <c r="P57" s="92">
        <f>(_xlfn.XLOOKUP(Table1__3[[#This Row],[Campaign_Name]],Table3[Campaign_Name],Table3[Start_Date]))</f>
        <v>45627</v>
      </c>
      <c r="Q57" s="92">
        <f>(_xlfn.XLOOKUP(Table1__3[[#This Row],[Campaign_Name]],Table3[Campaign_Name],Table3[End_Date]))</f>
        <v>45657</v>
      </c>
      <c r="R57" s="4" t="str">
        <f>IF(Table1__3[[#This Row],[Date]] &lt; Table1__3[[#This Row],[Start_Date]], "Before",
   IF(AND(Table1__3[[#This Row],[Date]] &gt;= Table1__3[[#This Row],[Start_Date]], Table1__3[[#This Row],[Date]] &lt;= Table1__3[[#This Row],[End_Date]]), "During",
   "After"))</f>
        <v>After</v>
      </c>
      <c r="S57" s="31"/>
      <c r="T57" s="31"/>
    </row>
    <row r="58" spans="1:20">
      <c r="A58" s="4" t="s">
        <v>91</v>
      </c>
      <c r="B58" s="4" t="s">
        <v>13</v>
      </c>
      <c r="C58" s="92">
        <v>45299</v>
      </c>
      <c r="D58" s="4" t="s">
        <v>14</v>
      </c>
      <c r="E58" s="4" t="s">
        <v>36</v>
      </c>
      <c r="F58">
        <v>2683</v>
      </c>
      <c r="G58">
        <v>405</v>
      </c>
      <c r="H58">
        <v>223</v>
      </c>
      <c r="I58">
        <v>31233</v>
      </c>
      <c r="J58">
        <v>58106</v>
      </c>
      <c r="K58">
        <v>291</v>
      </c>
      <c r="L58" s="4" t="s">
        <v>19</v>
      </c>
      <c r="M58" s="4"/>
      <c r="N58" s="4" t="s">
        <v>20</v>
      </c>
      <c r="O58" s="33">
        <f t="shared" si="0"/>
        <v>0.10600966926007749</v>
      </c>
      <c r="P58" s="92">
        <f>(_xlfn.XLOOKUP(Table1__3[[#This Row],[Campaign_Name]],Table3[Campaign_Name],Table3[Start_Date]))</f>
        <v>45717</v>
      </c>
      <c r="Q58" s="92">
        <f>(_xlfn.XLOOKUP(Table1__3[[#This Row],[Campaign_Name]],Table3[Campaign_Name],Table3[End_Date]))</f>
        <v>45747</v>
      </c>
      <c r="R58" s="4" t="str">
        <f>IF(Table1__3[[#This Row],[Date]] &lt; Table1__3[[#This Row],[Start_Date]], "Before",
   IF(AND(Table1__3[[#This Row],[Date]] &gt;= Table1__3[[#This Row],[Start_Date]], Table1__3[[#This Row],[Date]] &lt;= Table1__3[[#This Row],[End_Date]]), "During",
   "After"))</f>
        <v>Before</v>
      </c>
      <c r="S58" s="31"/>
      <c r="T58" s="31"/>
    </row>
    <row r="59" spans="1:20">
      <c r="A59" s="4" t="s">
        <v>92</v>
      </c>
      <c r="B59" s="4" t="s">
        <v>28</v>
      </c>
      <c r="C59" s="92">
        <v>45490</v>
      </c>
      <c r="D59" s="4" t="s">
        <v>14</v>
      </c>
      <c r="E59" s="4" t="s">
        <v>36</v>
      </c>
      <c r="F59">
        <v>3135</v>
      </c>
      <c r="G59">
        <v>110</v>
      </c>
      <c r="H59">
        <v>215</v>
      </c>
      <c r="I59">
        <v>39192</v>
      </c>
      <c r="J59">
        <v>24744</v>
      </c>
      <c r="K59">
        <v>177</v>
      </c>
      <c r="L59" s="4" t="s">
        <v>19</v>
      </c>
      <c r="M59" s="4" t="s">
        <v>364</v>
      </c>
      <c r="N59" s="4" t="s">
        <v>20</v>
      </c>
      <c r="O59" s="33">
        <f t="shared" si="0"/>
        <v>8.8283323127168814E-2</v>
      </c>
      <c r="P59" s="92">
        <f>(_xlfn.XLOOKUP(Table1__3[[#This Row],[Campaign_Name]],Table3[Campaign_Name],Table3[Start_Date]))</f>
        <v>45717</v>
      </c>
      <c r="Q59" s="92">
        <f>(_xlfn.XLOOKUP(Table1__3[[#This Row],[Campaign_Name]],Table3[Campaign_Name],Table3[End_Date]))</f>
        <v>45747</v>
      </c>
      <c r="R59" s="4" t="str">
        <f>IF(Table1__3[[#This Row],[Date]] &lt; Table1__3[[#This Row],[Start_Date]], "Before",
   IF(AND(Table1__3[[#This Row],[Date]] &gt;= Table1__3[[#This Row],[Start_Date]], Table1__3[[#This Row],[Date]] &lt;= Table1__3[[#This Row],[End_Date]]), "During",
   "After"))</f>
        <v>Before</v>
      </c>
      <c r="S59" s="31"/>
      <c r="T59" s="31"/>
    </row>
    <row r="60" spans="1:20">
      <c r="A60" s="4" t="s">
        <v>93</v>
      </c>
      <c r="B60" s="4" t="s">
        <v>28</v>
      </c>
      <c r="C60" s="92">
        <v>45514</v>
      </c>
      <c r="D60" s="4" t="s">
        <v>14</v>
      </c>
      <c r="E60" s="4" t="s">
        <v>44</v>
      </c>
      <c r="F60">
        <v>1105</v>
      </c>
      <c r="G60">
        <v>181</v>
      </c>
      <c r="H60">
        <v>55</v>
      </c>
      <c r="I60">
        <v>53581</v>
      </c>
      <c r="J60">
        <v>74048</v>
      </c>
      <c r="K60">
        <v>220</v>
      </c>
      <c r="L60" s="4" t="s">
        <v>19</v>
      </c>
      <c r="M60" s="4" t="s">
        <v>364</v>
      </c>
      <c r="N60" s="4" t="s">
        <v>20</v>
      </c>
      <c r="O60" s="33">
        <f t="shared" si="0"/>
        <v>2.50275284149232E-2</v>
      </c>
      <c r="P60" s="92">
        <f>(_xlfn.XLOOKUP(Table1__3[[#This Row],[Campaign_Name]],Table3[Campaign_Name],Table3[Start_Date]))</f>
        <v>45717</v>
      </c>
      <c r="Q60" s="92">
        <f>(_xlfn.XLOOKUP(Table1__3[[#This Row],[Campaign_Name]],Table3[Campaign_Name],Table3[End_Date]))</f>
        <v>45747</v>
      </c>
      <c r="R60" s="4" t="str">
        <f>IF(Table1__3[[#This Row],[Date]] &lt; Table1__3[[#This Row],[Start_Date]], "Before",
   IF(AND(Table1__3[[#This Row],[Date]] &gt;= Table1__3[[#This Row],[Start_Date]], Table1__3[[#This Row],[Date]] &lt;= Table1__3[[#This Row],[End_Date]]), "During",
   "After"))</f>
        <v>Before</v>
      </c>
      <c r="S60" s="31"/>
      <c r="T60" s="31"/>
    </row>
    <row r="61" spans="1:20">
      <c r="A61" s="4" t="s">
        <v>94</v>
      </c>
      <c r="B61" s="4" t="s">
        <v>28</v>
      </c>
      <c r="C61" s="92">
        <v>45398</v>
      </c>
      <c r="D61" s="4" t="s">
        <v>14</v>
      </c>
      <c r="E61" s="4" t="s">
        <v>15</v>
      </c>
      <c r="F61">
        <v>4674</v>
      </c>
      <c r="G61">
        <v>326</v>
      </c>
      <c r="H61">
        <v>62</v>
      </c>
      <c r="I61">
        <v>45503</v>
      </c>
      <c r="J61">
        <v>46814</v>
      </c>
      <c r="K61">
        <v>116</v>
      </c>
      <c r="L61" s="4" t="s">
        <v>19</v>
      </c>
      <c r="M61" s="4" t="s">
        <v>364</v>
      </c>
      <c r="N61" s="4" t="s">
        <v>20</v>
      </c>
      <c r="O61" s="33">
        <f t="shared" si="0"/>
        <v>0.11124541239039185</v>
      </c>
      <c r="P61" s="92">
        <f>(_xlfn.XLOOKUP(Table1__3[[#This Row],[Campaign_Name]],Table3[Campaign_Name],Table3[Start_Date]))</f>
        <v>45717</v>
      </c>
      <c r="Q61" s="92">
        <f>(_xlfn.XLOOKUP(Table1__3[[#This Row],[Campaign_Name]],Table3[Campaign_Name],Table3[End_Date]))</f>
        <v>45747</v>
      </c>
      <c r="R61" s="4" t="str">
        <f>IF(Table1__3[[#This Row],[Date]] &lt; Table1__3[[#This Row],[Start_Date]], "Before",
   IF(AND(Table1__3[[#This Row],[Date]] &gt;= Table1__3[[#This Row],[Start_Date]], Table1__3[[#This Row],[Date]] &lt;= Table1__3[[#This Row],[End_Date]]), "During",
   "After"))</f>
        <v>Before</v>
      </c>
      <c r="S61" s="31"/>
      <c r="T61" s="31"/>
    </row>
    <row r="62" spans="1:20">
      <c r="A62" s="4" t="s">
        <v>95</v>
      </c>
      <c r="B62" s="4" t="s">
        <v>28</v>
      </c>
      <c r="C62" s="92">
        <v>45292</v>
      </c>
      <c r="D62" s="4" t="s">
        <v>52</v>
      </c>
      <c r="E62" s="4" t="s">
        <v>18</v>
      </c>
      <c r="F62">
        <v>3437</v>
      </c>
      <c r="G62">
        <v>129</v>
      </c>
      <c r="H62">
        <v>359</v>
      </c>
      <c r="I62">
        <v>44558</v>
      </c>
      <c r="J62">
        <v>30854</v>
      </c>
      <c r="K62">
        <v>171</v>
      </c>
      <c r="L62" s="4" t="s">
        <v>19</v>
      </c>
      <c r="M62" s="4" t="s">
        <v>40</v>
      </c>
      <c r="N62" s="4" t="s">
        <v>53</v>
      </c>
      <c r="O62" s="33">
        <f t="shared" si="0"/>
        <v>8.8087436599488311E-2</v>
      </c>
      <c r="P62" s="92">
        <f>(_xlfn.XLOOKUP(Table1__3[[#This Row],[Campaign_Name]],Table3[Campaign_Name],Table3[Start_Date]))</f>
        <v>45458</v>
      </c>
      <c r="Q62" s="92">
        <f>(_xlfn.XLOOKUP(Table1__3[[#This Row],[Campaign_Name]],Table3[Campaign_Name],Table3[End_Date]))</f>
        <v>45488</v>
      </c>
      <c r="R62" s="4" t="str">
        <f>IF(Table1__3[[#This Row],[Date]] &lt; Table1__3[[#This Row],[Start_Date]], "Before",
   IF(AND(Table1__3[[#This Row],[Date]] &gt;= Table1__3[[#This Row],[Start_Date]], Table1__3[[#This Row],[Date]] &lt;= Table1__3[[#This Row],[End_Date]]), "During",
   "After"))</f>
        <v>Before</v>
      </c>
      <c r="S62" s="31"/>
      <c r="T62" s="31"/>
    </row>
    <row r="63" spans="1:20">
      <c r="A63" s="4" t="s">
        <v>96</v>
      </c>
      <c r="B63" s="4" t="s">
        <v>22</v>
      </c>
      <c r="C63" s="92">
        <v>45599</v>
      </c>
      <c r="D63" s="4" t="s">
        <v>23</v>
      </c>
      <c r="E63" s="4" t="s">
        <v>26</v>
      </c>
      <c r="F63">
        <v>1959</v>
      </c>
      <c r="G63">
        <v>316</v>
      </c>
      <c r="H63">
        <v>82</v>
      </c>
      <c r="I63">
        <v>54036</v>
      </c>
      <c r="J63">
        <v>69015</v>
      </c>
      <c r="K63">
        <v>182</v>
      </c>
      <c r="L63" s="4" t="s">
        <v>363</v>
      </c>
      <c r="M63" s="4" t="s">
        <v>37</v>
      </c>
      <c r="N63" s="4" t="s">
        <v>16</v>
      </c>
      <c r="O63" s="33">
        <f t="shared" si="0"/>
        <v>4.3619068768968837E-2</v>
      </c>
      <c r="P63" s="92">
        <f>(_xlfn.XLOOKUP(Table1__3[[#This Row],[Campaign_Name]],Table3[Campaign_Name],Table3[Start_Date]))</f>
        <v>45667</v>
      </c>
      <c r="Q63" s="92">
        <f>(_xlfn.XLOOKUP(Table1__3[[#This Row],[Campaign_Name]],Table3[Campaign_Name],Table3[End_Date]))</f>
        <v>45698</v>
      </c>
      <c r="R63" s="4" t="str">
        <f>IF(Table1__3[[#This Row],[Date]] &lt; Table1__3[[#This Row],[Start_Date]], "Before",
   IF(AND(Table1__3[[#This Row],[Date]] &gt;= Table1__3[[#This Row],[Start_Date]], Table1__3[[#This Row],[Date]] &lt;= Table1__3[[#This Row],[End_Date]]), "During",
   "After"))</f>
        <v>Before</v>
      </c>
      <c r="S63" s="31"/>
      <c r="T63" s="31"/>
    </row>
    <row r="64" spans="1:20">
      <c r="A64" s="4" t="s">
        <v>97</v>
      </c>
      <c r="B64" s="4" t="s">
        <v>22</v>
      </c>
      <c r="C64" s="92">
        <v>45480</v>
      </c>
      <c r="D64" s="4" t="s">
        <v>14</v>
      </c>
      <c r="E64" s="4" t="s">
        <v>24</v>
      </c>
      <c r="F64">
        <v>1035</v>
      </c>
      <c r="G64">
        <v>137</v>
      </c>
      <c r="H64">
        <v>184</v>
      </c>
      <c r="I64">
        <v>37302</v>
      </c>
      <c r="J64">
        <v>68953</v>
      </c>
      <c r="K64">
        <v>237</v>
      </c>
      <c r="L64" s="4" t="s">
        <v>40</v>
      </c>
      <c r="M64" s="4"/>
      <c r="N64" s="4" t="s">
        <v>20</v>
      </c>
      <c r="O64" s="33">
        <f t="shared" si="0"/>
        <v>3.6351938233874857E-2</v>
      </c>
      <c r="P64" s="92">
        <f>(_xlfn.XLOOKUP(Table1__3[[#This Row],[Campaign_Name]],Table3[Campaign_Name],Table3[Start_Date]))</f>
        <v>45717</v>
      </c>
      <c r="Q64" s="92">
        <f>(_xlfn.XLOOKUP(Table1__3[[#This Row],[Campaign_Name]],Table3[Campaign_Name],Table3[End_Date]))</f>
        <v>45747</v>
      </c>
      <c r="R64" s="4" t="str">
        <f>IF(Table1__3[[#This Row],[Date]] &lt; Table1__3[[#This Row],[Start_Date]], "Before",
   IF(AND(Table1__3[[#This Row],[Date]] &gt;= Table1__3[[#This Row],[Start_Date]], Table1__3[[#This Row],[Date]] &lt;= Table1__3[[#This Row],[End_Date]]), "During",
   "After"))</f>
        <v>Before</v>
      </c>
      <c r="S64" s="31"/>
      <c r="T64" s="31"/>
    </row>
    <row r="65" spans="1:20">
      <c r="A65" s="4" t="s">
        <v>98</v>
      </c>
      <c r="B65" s="4" t="s">
        <v>22</v>
      </c>
      <c r="C65" s="92">
        <v>45679</v>
      </c>
      <c r="D65" s="4" t="s">
        <v>23</v>
      </c>
      <c r="E65" s="4" t="s">
        <v>24</v>
      </c>
      <c r="F65">
        <v>4478</v>
      </c>
      <c r="G65">
        <v>101</v>
      </c>
      <c r="H65">
        <v>121</v>
      </c>
      <c r="I65">
        <v>51035</v>
      </c>
      <c r="J65">
        <v>58207</v>
      </c>
      <c r="K65">
        <v>205</v>
      </c>
      <c r="L65" s="4" t="s">
        <v>363</v>
      </c>
      <c r="M65" s="4" t="s">
        <v>37</v>
      </c>
      <c r="N65" s="4" t="s">
        <v>16</v>
      </c>
      <c r="O65" s="33">
        <f t="shared" si="0"/>
        <v>9.2093661212893113E-2</v>
      </c>
      <c r="P65" s="92">
        <f>(_xlfn.XLOOKUP(Table1__3[[#This Row],[Campaign_Name]],Table3[Campaign_Name],Table3[Start_Date]))</f>
        <v>45667</v>
      </c>
      <c r="Q65" s="92">
        <f>(_xlfn.XLOOKUP(Table1__3[[#This Row],[Campaign_Name]],Table3[Campaign_Name],Table3[End_Date]))</f>
        <v>45698</v>
      </c>
      <c r="R65" s="4" t="str">
        <f>IF(Table1__3[[#This Row],[Date]] &lt; Table1__3[[#This Row],[Start_Date]], "Before",
   IF(AND(Table1__3[[#This Row],[Date]] &gt;= Table1__3[[#This Row],[Start_Date]], Table1__3[[#This Row],[Date]] &lt;= Table1__3[[#This Row],[End_Date]]), "During",
   "After"))</f>
        <v>During</v>
      </c>
      <c r="S65" s="31"/>
      <c r="T65" s="31"/>
    </row>
    <row r="66" spans="1:20">
      <c r="A66" s="4" t="s">
        <v>99</v>
      </c>
      <c r="B66" s="4" t="s">
        <v>28</v>
      </c>
      <c r="C66" s="92">
        <v>45438</v>
      </c>
      <c r="D66" s="4" t="s">
        <v>14</v>
      </c>
      <c r="E66" s="4" t="s">
        <v>44</v>
      </c>
      <c r="F66">
        <v>1488</v>
      </c>
      <c r="G66">
        <v>327</v>
      </c>
      <c r="H66">
        <v>110</v>
      </c>
      <c r="I66">
        <v>53805</v>
      </c>
      <c r="J66">
        <v>30239</v>
      </c>
      <c r="K66">
        <v>109</v>
      </c>
      <c r="L66" s="4" t="s">
        <v>19</v>
      </c>
      <c r="M66" s="4" t="s">
        <v>364</v>
      </c>
      <c r="N66" s="4" t="s">
        <v>20</v>
      </c>
      <c r="O66" s="33">
        <f t="shared" ref="O66:O129" si="1">(F66+G66+H66)/I66</f>
        <v>3.5777344113000653E-2</v>
      </c>
      <c r="P66" s="92">
        <f>(_xlfn.XLOOKUP(Table1__3[[#This Row],[Campaign_Name]],Table3[Campaign_Name],Table3[Start_Date]))</f>
        <v>45717</v>
      </c>
      <c r="Q66" s="92">
        <f>(_xlfn.XLOOKUP(Table1__3[[#This Row],[Campaign_Name]],Table3[Campaign_Name],Table3[End_Date]))</f>
        <v>45747</v>
      </c>
      <c r="R66" s="4" t="str">
        <f>IF(Table1__3[[#This Row],[Date]] &lt; Table1__3[[#This Row],[Start_Date]], "Before",
   IF(AND(Table1__3[[#This Row],[Date]] &gt;= Table1__3[[#This Row],[Start_Date]], Table1__3[[#This Row],[Date]] &lt;= Table1__3[[#This Row],[End_Date]]), "During",
   "After"))</f>
        <v>Before</v>
      </c>
      <c r="S66" s="31"/>
      <c r="T66" s="31"/>
    </row>
    <row r="67" spans="1:20">
      <c r="A67" s="4" t="s">
        <v>100</v>
      </c>
      <c r="B67" s="4" t="s">
        <v>13</v>
      </c>
      <c r="C67" s="92">
        <v>45763</v>
      </c>
      <c r="D67" s="4" t="s">
        <v>14</v>
      </c>
      <c r="E67" s="4" t="s">
        <v>26</v>
      </c>
      <c r="F67">
        <v>4836</v>
      </c>
      <c r="G67">
        <v>331</v>
      </c>
      <c r="H67">
        <v>140</v>
      </c>
      <c r="I67">
        <v>58792</v>
      </c>
      <c r="J67">
        <v>47711</v>
      </c>
      <c r="K67">
        <v>227</v>
      </c>
      <c r="L67" s="4" t="s">
        <v>40</v>
      </c>
      <c r="M67" s="4" t="s">
        <v>37</v>
      </c>
      <c r="N67" s="4" t="s">
        <v>16</v>
      </c>
      <c r="O67" s="33">
        <f t="shared" si="1"/>
        <v>9.0267383317458164E-2</v>
      </c>
      <c r="P67" s="92">
        <f>(_xlfn.XLOOKUP(Table1__3[[#This Row],[Campaign_Name]],Table3[Campaign_Name],Table3[Start_Date]))</f>
        <v>45667</v>
      </c>
      <c r="Q67" s="92">
        <f>(_xlfn.XLOOKUP(Table1__3[[#This Row],[Campaign_Name]],Table3[Campaign_Name],Table3[End_Date]))</f>
        <v>45698</v>
      </c>
      <c r="R67" s="4" t="str">
        <f>IF(Table1__3[[#This Row],[Date]] &lt; Table1__3[[#This Row],[Start_Date]], "Before",
   IF(AND(Table1__3[[#This Row],[Date]] &gt;= Table1__3[[#This Row],[Start_Date]], Table1__3[[#This Row],[Date]] &lt;= Table1__3[[#This Row],[End_Date]]), "During",
   "After"))</f>
        <v>After</v>
      </c>
      <c r="S67" s="31"/>
      <c r="T67" s="31"/>
    </row>
    <row r="68" spans="1:20">
      <c r="A68" s="4" t="s">
        <v>101</v>
      </c>
      <c r="B68" s="4" t="s">
        <v>28</v>
      </c>
      <c r="C68" s="92">
        <v>45384</v>
      </c>
      <c r="D68" s="4" t="s">
        <v>52</v>
      </c>
      <c r="E68" s="4" t="s">
        <v>46</v>
      </c>
      <c r="F68">
        <v>4563</v>
      </c>
      <c r="G68">
        <v>488</v>
      </c>
      <c r="H68">
        <v>356</v>
      </c>
      <c r="I68">
        <v>30619</v>
      </c>
      <c r="J68">
        <v>23328</v>
      </c>
      <c r="K68">
        <v>267</v>
      </c>
      <c r="L68" s="4" t="s">
        <v>19</v>
      </c>
      <c r="M68" s="4" t="s">
        <v>40</v>
      </c>
      <c r="N68" s="4" t="s">
        <v>53</v>
      </c>
      <c r="O68" s="33">
        <f t="shared" si="1"/>
        <v>0.17658969920637513</v>
      </c>
      <c r="P68" s="92">
        <f>(_xlfn.XLOOKUP(Table1__3[[#This Row],[Campaign_Name]],Table3[Campaign_Name],Table3[Start_Date]))</f>
        <v>45458</v>
      </c>
      <c r="Q68" s="92">
        <f>(_xlfn.XLOOKUP(Table1__3[[#This Row],[Campaign_Name]],Table3[Campaign_Name],Table3[End_Date]))</f>
        <v>45488</v>
      </c>
      <c r="R68" s="4" t="str">
        <f>IF(Table1__3[[#This Row],[Date]] &lt; Table1__3[[#This Row],[Start_Date]], "Before",
   IF(AND(Table1__3[[#This Row],[Date]] &gt;= Table1__3[[#This Row],[Start_Date]], Table1__3[[#This Row],[Date]] &lt;= Table1__3[[#This Row],[End_Date]]), "During",
   "After"))</f>
        <v>Before</v>
      </c>
      <c r="S68" s="31"/>
      <c r="T68" s="31"/>
    </row>
    <row r="69" spans="1:20">
      <c r="A69" s="4" t="s">
        <v>102</v>
      </c>
      <c r="B69" s="4" t="s">
        <v>22</v>
      </c>
      <c r="C69" s="92">
        <v>45379</v>
      </c>
      <c r="D69" s="4" t="s">
        <v>14</v>
      </c>
      <c r="E69" s="4" t="s">
        <v>29</v>
      </c>
      <c r="F69">
        <v>3276</v>
      </c>
      <c r="G69">
        <v>421</v>
      </c>
      <c r="H69">
        <v>114</v>
      </c>
      <c r="I69">
        <v>20580</v>
      </c>
      <c r="J69">
        <v>30324</v>
      </c>
      <c r="K69">
        <v>221</v>
      </c>
      <c r="L69" s="4" t="s">
        <v>40</v>
      </c>
      <c r="M69" s="4"/>
      <c r="N69" s="4" t="s">
        <v>20</v>
      </c>
      <c r="O69" s="33">
        <f t="shared" si="1"/>
        <v>0.18517978620019437</v>
      </c>
      <c r="P69" s="92">
        <f>(_xlfn.XLOOKUP(Table1__3[[#This Row],[Campaign_Name]],Table3[Campaign_Name],Table3[Start_Date]))</f>
        <v>45717</v>
      </c>
      <c r="Q69" s="92">
        <f>(_xlfn.XLOOKUP(Table1__3[[#This Row],[Campaign_Name]],Table3[Campaign_Name],Table3[End_Date]))</f>
        <v>45747</v>
      </c>
      <c r="R69" s="4" t="str">
        <f>IF(Table1__3[[#This Row],[Date]] &lt; Table1__3[[#This Row],[Start_Date]], "Before",
   IF(AND(Table1__3[[#This Row],[Date]] &gt;= Table1__3[[#This Row],[Start_Date]], Table1__3[[#This Row],[Date]] &lt;= Table1__3[[#This Row],[End_Date]]), "During",
   "After"))</f>
        <v>Before</v>
      </c>
      <c r="S69" s="31"/>
      <c r="T69" s="31"/>
    </row>
    <row r="70" spans="1:20">
      <c r="A70" s="4" t="s">
        <v>103</v>
      </c>
      <c r="B70" s="4" t="s">
        <v>22</v>
      </c>
      <c r="C70" s="92">
        <v>45643</v>
      </c>
      <c r="D70" s="4" t="s">
        <v>23</v>
      </c>
      <c r="E70" s="4" t="s">
        <v>29</v>
      </c>
      <c r="F70">
        <v>1316</v>
      </c>
      <c r="G70">
        <v>472</v>
      </c>
      <c r="H70">
        <v>286</v>
      </c>
      <c r="I70">
        <v>44692</v>
      </c>
      <c r="J70">
        <v>53343</v>
      </c>
      <c r="K70">
        <v>227</v>
      </c>
      <c r="L70" s="4" t="s">
        <v>19</v>
      </c>
      <c r="M70" s="4" t="s">
        <v>363</v>
      </c>
      <c r="N70" s="4" t="s">
        <v>16</v>
      </c>
      <c r="O70" s="33">
        <f t="shared" si="1"/>
        <v>4.6406515707509172E-2</v>
      </c>
      <c r="P70" s="92">
        <f>(_xlfn.XLOOKUP(Table1__3[[#This Row],[Campaign_Name]],Table3[Campaign_Name],Table3[Start_Date]))</f>
        <v>45667</v>
      </c>
      <c r="Q70" s="92">
        <f>(_xlfn.XLOOKUP(Table1__3[[#This Row],[Campaign_Name]],Table3[Campaign_Name],Table3[End_Date]))</f>
        <v>45698</v>
      </c>
      <c r="R70" s="4" t="str">
        <f>IF(Table1__3[[#This Row],[Date]] &lt; Table1__3[[#This Row],[Start_Date]], "Before",
   IF(AND(Table1__3[[#This Row],[Date]] &gt;= Table1__3[[#This Row],[Start_Date]], Table1__3[[#This Row],[Date]] &lt;= Table1__3[[#This Row],[End_Date]]), "During",
   "After"))</f>
        <v>Before</v>
      </c>
      <c r="S70" s="31"/>
      <c r="T70" s="31"/>
    </row>
    <row r="71" spans="1:20">
      <c r="A71" s="4" t="s">
        <v>104</v>
      </c>
      <c r="B71" s="4" t="s">
        <v>22</v>
      </c>
      <c r="C71" s="92">
        <v>45662</v>
      </c>
      <c r="D71" s="4" t="s">
        <v>14</v>
      </c>
      <c r="E71" s="4" t="s">
        <v>26</v>
      </c>
      <c r="F71">
        <v>4811</v>
      </c>
      <c r="G71">
        <v>473</v>
      </c>
      <c r="H71">
        <v>254</v>
      </c>
      <c r="I71">
        <v>51964</v>
      </c>
      <c r="J71">
        <v>68795</v>
      </c>
      <c r="K71">
        <v>107</v>
      </c>
      <c r="L71" s="4" t="s">
        <v>37</v>
      </c>
      <c r="M71" s="4"/>
      <c r="N71" s="4" t="s">
        <v>16</v>
      </c>
      <c r="O71" s="33">
        <f t="shared" si="1"/>
        <v>0.10657378184897237</v>
      </c>
      <c r="P71" s="92">
        <f>(_xlfn.XLOOKUP(Table1__3[[#This Row],[Campaign_Name]],Table3[Campaign_Name],Table3[Start_Date]))</f>
        <v>45667</v>
      </c>
      <c r="Q71" s="92">
        <f>(_xlfn.XLOOKUP(Table1__3[[#This Row],[Campaign_Name]],Table3[Campaign_Name],Table3[End_Date]))</f>
        <v>45698</v>
      </c>
      <c r="R71" s="4" t="str">
        <f>IF(Table1__3[[#This Row],[Date]] &lt; Table1__3[[#This Row],[Start_Date]], "Before",
   IF(AND(Table1__3[[#This Row],[Date]] &gt;= Table1__3[[#This Row],[Start_Date]], Table1__3[[#This Row],[Date]] &lt;= Table1__3[[#This Row],[End_Date]]), "During",
   "After"))</f>
        <v>Before</v>
      </c>
      <c r="S71" s="31"/>
      <c r="T71" s="31"/>
    </row>
    <row r="72" spans="1:20">
      <c r="A72" s="4" t="s">
        <v>105</v>
      </c>
      <c r="B72" s="4" t="s">
        <v>22</v>
      </c>
      <c r="C72" s="92">
        <v>45302</v>
      </c>
      <c r="D72" s="4" t="s">
        <v>14</v>
      </c>
      <c r="E72" s="4" t="s">
        <v>31</v>
      </c>
      <c r="F72">
        <v>4218</v>
      </c>
      <c r="G72">
        <v>247</v>
      </c>
      <c r="H72">
        <v>183</v>
      </c>
      <c r="I72">
        <v>28914</v>
      </c>
      <c r="J72">
        <v>18310</v>
      </c>
      <c r="K72">
        <v>135</v>
      </c>
      <c r="L72" s="4" t="s">
        <v>40</v>
      </c>
      <c r="M72" s="4"/>
      <c r="N72" s="4" t="s">
        <v>20</v>
      </c>
      <c r="O72" s="33">
        <f t="shared" si="1"/>
        <v>0.1607525766064882</v>
      </c>
      <c r="P72" s="92">
        <f>(_xlfn.XLOOKUP(Table1__3[[#This Row],[Campaign_Name]],Table3[Campaign_Name],Table3[Start_Date]))</f>
        <v>45717</v>
      </c>
      <c r="Q72" s="92">
        <f>(_xlfn.XLOOKUP(Table1__3[[#This Row],[Campaign_Name]],Table3[Campaign_Name],Table3[End_Date]))</f>
        <v>45747</v>
      </c>
      <c r="R72" s="4" t="str">
        <f>IF(Table1__3[[#This Row],[Date]] &lt; Table1__3[[#This Row],[Start_Date]], "Before",
   IF(AND(Table1__3[[#This Row],[Date]] &gt;= Table1__3[[#This Row],[Start_Date]], Table1__3[[#This Row],[Date]] &lt;= Table1__3[[#This Row],[End_Date]]), "During",
   "After"))</f>
        <v>Before</v>
      </c>
      <c r="S72" s="31"/>
      <c r="T72" s="31"/>
    </row>
    <row r="73" spans="1:20">
      <c r="A73" s="4" t="s">
        <v>106</v>
      </c>
      <c r="B73" s="4" t="s">
        <v>13</v>
      </c>
      <c r="C73" s="92">
        <v>45576</v>
      </c>
      <c r="D73" s="4" t="s">
        <v>14</v>
      </c>
      <c r="E73" s="4" t="s">
        <v>44</v>
      </c>
      <c r="F73">
        <v>1360</v>
      </c>
      <c r="G73">
        <v>249</v>
      </c>
      <c r="H73">
        <v>52</v>
      </c>
      <c r="I73">
        <v>20368</v>
      </c>
      <c r="J73">
        <v>42152</v>
      </c>
      <c r="K73">
        <v>193</v>
      </c>
      <c r="L73" s="4" t="s">
        <v>19</v>
      </c>
      <c r="M73" s="4"/>
      <c r="N73" s="4" t="s">
        <v>20</v>
      </c>
      <c r="O73" s="33">
        <f t="shared" si="1"/>
        <v>8.1549489395129612E-2</v>
      </c>
      <c r="P73" s="92">
        <f>(_xlfn.XLOOKUP(Table1__3[[#This Row],[Campaign_Name]],Table3[Campaign_Name],Table3[Start_Date]))</f>
        <v>45717</v>
      </c>
      <c r="Q73" s="92">
        <f>(_xlfn.XLOOKUP(Table1__3[[#This Row],[Campaign_Name]],Table3[Campaign_Name],Table3[End_Date]))</f>
        <v>45747</v>
      </c>
      <c r="R73" s="4" t="str">
        <f>IF(Table1__3[[#This Row],[Date]] &lt; Table1__3[[#This Row],[Start_Date]], "Before",
   IF(AND(Table1__3[[#This Row],[Date]] &gt;= Table1__3[[#This Row],[Start_Date]], Table1__3[[#This Row],[Date]] &lt;= Table1__3[[#This Row],[End_Date]]), "During",
   "After"))</f>
        <v>Before</v>
      </c>
      <c r="S73" s="31"/>
      <c r="T73" s="31"/>
    </row>
    <row r="74" spans="1:20">
      <c r="A74" s="4" t="s">
        <v>107</v>
      </c>
      <c r="B74" s="4" t="s">
        <v>28</v>
      </c>
      <c r="C74" s="92">
        <v>45783</v>
      </c>
      <c r="D74" s="4" t="s">
        <v>52</v>
      </c>
      <c r="E74" s="4" t="s">
        <v>15</v>
      </c>
      <c r="F74">
        <v>1085</v>
      </c>
      <c r="G74">
        <v>496</v>
      </c>
      <c r="H74">
        <v>320</v>
      </c>
      <c r="I74">
        <v>36528</v>
      </c>
      <c r="J74">
        <v>38599</v>
      </c>
      <c r="K74">
        <v>270</v>
      </c>
      <c r="L74" s="4" t="s">
        <v>19</v>
      </c>
      <c r="M74" s="4" t="s">
        <v>40</v>
      </c>
      <c r="N74" s="4" t="s">
        <v>53</v>
      </c>
      <c r="O74" s="33">
        <f t="shared" si="1"/>
        <v>5.2042268944371438E-2</v>
      </c>
      <c r="P74" s="92">
        <f>(_xlfn.XLOOKUP(Table1__3[[#This Row],[Campaign_Name]],Table3[Campaign_Name],Table3[Start_Date]))</f>
        <v>45458</v>
      </c>
      <c r="Q74" s="92">
        <f>(_xlfn.XLOOKUP(Table1__3[[#This Row],[Campaign_Name]],Table3[Campaign_Name],Table3[End_Date]))</f>
        <v>45488</v>
      </c>
      <c r="R74" s="4" t="str">
        <f>IF(Table1__3[[#This Row],[Date]] &lt; Table1__3[[#This Row],[Start_Date]], "Before",
   IF(AND(Table1__3[[#This Row],[Date]] &gt;= Table1__3[[#This Row],[Start_Date]], Table1__3[[#This Row],[Date]] &lt;= Table1__3[[#This Row],[End_Date]]), "During",
   "After"))</f>
        <v>After</v>
      </c>
      <c r="S74" s="31"/>
      <c r="T74" s="31"/>
    </row>
    <row r="75" spans="1:20">
      <c r="A75" s="4" t="s">
        <v>108</v>
      </c>
      <c r="B75" s="4" t="s">
        <v>22</v>
      </c>
      <c r="C75" s="92">
        <v>45431</v>
      </c>
      <c r="D75" s="4" t="s">
        <v>23</v>
      </c>
      <c r="E75" s="4" t="s">
        <v>33</v>
      </c>
      <c r="F75">
        <v>1763</v>
      </c>
      <c r="G75">
        <v>206</v>
      </c>
      <c r="H75">
        <v>187</v>
      </c>
      <c r="I75">
        <v>53342</v>
      </c>
      <c r="J75">
        <v>25095</v>
      </c>
      <c r="K75">
        <v>88</v>
      </c>
      <c r="L75" s="4" t="s">
        <v>19</v>
      </c>
      <c r="M75" s="4" t="s">
        <v>363</v>
      </c>
      <c r="N75" s="4" t="s">
        <v>16</v>
      </c>
      <c r="O75" s="33">
        <f t="shared" si="1"/>
        <v>4.0418432004799221E-2</v>
      </c>
      <c r="P75" s="92">
        <f>(_xlfn.XLOOKUP(Table1__3[[#This Row],[Campaign_Name]],Table3[Campaign_Name],Table3[Start_Date]))</f>
        <v>45667</v>
      </c>
      <c r="Q75" s="92">
        <f>(_xlfn.XLOOKUP(Table1__3[[#This Row],[Campaign_Name]],Table3[Campaign_Name],Table3[End_Date]))</f>
        <v>45698</v>
      </c>
      <c r="R75" s="4" t="str">
        <f>IF(Table1__3[[#This Row],[Date]] &lt; Table1__3[[#This Row],[Start_Date]], "Before",
   IF(AND(Table1__3[[#This Row],[Date]] &gt;= Table1__3[[#This Row],[Start_Date]], Table1__3[[#This Row],[Date]] &lt;= Table1__3[[#This Row],[End_Date]]), "During",
   "After"))</f>
        <v>Before</v>
      </c>
      <c r="S75" s="31"/>
      <c r="T75" s="31"/>
    </row>
    <row r="76" spans="1:20">
      <c r="A76" s="4" t="s">
        <v>109</v>
      </c>
      <c r="B76" s="4" t="s">
        <v>22</v>
      </c>
      <c r="C76" s="92">
        <v>45313</v>
      </c>
      <c r="D76" s="4" t="s">
        <v>23</v>
      </c>
      <c r="E76" s="4" t="s">
        <v>44</v>
      </c>
      <c r="F76">
        <v>1554</v>
      </c>
      <c r="G76">
        <v>455</v>
      </c>
      <c r="H76">
        <v>158</v>
      </c>
      <c r="I76">
        <v>41947</v>
      </c>
      <c r="J76">
        <v>48578</v>
      </c>
      <c r="K76">
        <v>101</v>
      </c>
      <c r="L76" s="4" t="s">
        <v>40</v>
      </c>
      <c r="M76" s="4" t="s">
        <v>37</v>
      </c>
      <c r="N76" s="4" t="s">
        <v>16</v>
      </c>
      <c r="O76" s="33">
        <f t="shared" si="1"/>
        <v>5.1660428636136076E-2</v>
      </c>
      <c r="P76" s="92">
        <f>(_xlfn.XLOOKUP(Table1__3[[#This Row],[Campaign_Name]],Table3[Campaign_Name],Table3[Start_Date]))</f>
        <v>45667</v>
      </c>
      <c r="Q76" s="92">
        <f>(_xlfn.XLOOKUP(Table1__3[[#This Row],[Campaign_Name]],Table3[Campaign_Name],Table3[End_Date]))</f>
        <v>45698</v>
      </c>
      <c r="R76" s="4" t="str">
        <f>IF(Table1__3[[#This Row],[Date]] &lt; Table1__3[[#This Row],[Start_Date]], "Before",
   IF(AND(Table1__3[[#This Row],[Date]] &gt;= Table1__3[[#This Row],[Start_Date]], Table1__3[[#This Row],[Date]] &lt;= Table1__3[[#This Row],[End_Date]]), "During",
   "After"))</f>
        <v>Before</v>
      </c>
      <c r="S76" s="31"/>
      <c r="T76" s="31"/>
    </row>
    <row r="77" spans="1:20">
      <c r="A77" s="4" t="s">
        <v>110</v>
      </c>
      <c r="B77" s="4" t="s">
        <v>13</v>
      </c>
      <c r="C77" s="92">
        <v>45487</v>
      </c>
      <c r="D77" s="4" t="s">
        <v>14</v>
      </c>
      <c r="E77" s="4" t="s">
        <v>26</v>
      </c>
      <c r="F77">
        <v>2464</v>
      </c>
      <c r="G77">
        <v>401</v>
      </c>
      <c r="H77">
        <v>78</v>
      </c>
      <c r="I77">
        <v>38665</v>
      </c>
      <c r="J77">
        <v>73593</v>
      </c>
      <c r="K77">
        <v>207</v>
      </c>
      <c r="L77" s="4" t="s">
        <v>19</v>
      </c>
      <c r="M77" s="4"/>
      <c r="N77" s="4" t="s">
        <v>20</v>
      </c>
      <c r="O77" s="33">
        <f t="shared" si="1"/>
        <v>7.611534979956032E-2</v>
      </c>
      <c r="P77" s="92">
        <f>(_xlfn.XLOOKUP(Table1__3[[#This Row],[Campaign_Name]],Table3[Campaign_Name],Table3[Start_Date]))</f>
        <v>45717</v>
      </c>
      <c r="Q77" s="92">
        <f>(_xlfn.XLOOKUP(Table1__3[[#This Row],[Campaign_Name]],Table3[Campaign_Name],Table3[End_Date]))</f>
        <v>45747</v>
      </c>
      <c r="R77" s="4" t="str">
        <f>IF(Table1__3[[#This Row],[Date]] &lt; Table1__3[[#This Row],[Start_Date]], "Before",
   IF(AND(Table1__3[[#This Row],[Date]] &gt;= Table1__3[[#This Row],[Start_Date]], Table1__3[[#This Row],[Date]] &lt;= Table1__3[[#This Row],[End_Date]]), "During",
   "After"))</f>
        <v>Before</v>
      </c>
      <c r="S77" s="31"/>
      <c r="T77" s="31"/>
    </row>
    <row r="78" spans="1:20">
      <c r="A78" s="4" t="s">
        <v>111</v>
      </c>
      <c r="B78" s="4" t="s">
        <v>22</v>
      </c>
      <c r="C78" s="92">
        <v>45805</v>
      </c>
      <c r="D78" s="4" t="s">
        <v>14</v>
      </c>
      <c r="E78" s="4" t="s">
        <v>44</v>
      </c>
      <c r="F78">
        <v>2418</v>
      </c>
      <c r="G78">
        <v>161</v>
      </c>
      <c r="H78">
        <v>360</v>
      </c>
      <c r="I78">
        <v>30589</v>
      </c>
      <c r="J78">
        <v>41383</v>
      </c>
      <c r="K78">
        <v>88</v>
      </c>
      <c r="L78" s="4" t="s">
        <v>37</v>
      </c>
      <c r="M78" s="4"/>
      <c r="N78" s="4" t="s">
        <v>16</v>
      </c>
      <c r="O78" s="33">
        <f t="shared" si="1"/>
        <v>9.6080290300434801E-2</v>
      </c>
      <c r="P78" s="92">
        <f>(_xlfn.XLOOKUP(Table1__3[[#This Row],[Campaign_Name]],Table3[Campaign_Name],Table3[Start_Date]))</f>
        <v>45667</v>
      </c>
      <c r="Q78" s="92">
        <f>(_xlfn.XLOOKUP(Table1__3[[#This Row],[Campaign_Name]],Table3[Campaign_Name],Table3[End_Date]))</f>
        <v>45698</v>
      </c>
      <c r="R78" s="4" t="str">
        <f>IF(Table1__3[[#This Row],[Date]] &lt; Table1__3[[#This Row],[Start_Date]], "Before",
   IF(AND(Table1__3[[#This Row],[Date]] &gt;= Table1__3[[#This Row],[Start_Date]], Table1__3[[#This Row],[Date]] &lt;= Table1__3[[#This Row],[End_Date]]), "During",
   "After"))</f>
        <v>After</v>
      </c>
      <c r="S78" s="31"/>
      <c r="T78" s="31"/>
    </row>
    <row r="79" spans="1:20">
      <c r="A79" s="4" t="s">
        <v>112</v>
      </c>
      <c r="B79" s="4" t="s">
        <v>22</v>
      </c>
      <c r="C79" s="92">
        <v>45678</v>
      </c>
      <c r="D79" s="4" t="s">
        <v>23</v>
      </c>
      <c r="E79" s="4" t="s">
        <v>15</v>
      </c>
      <c r="F79">
        <v>2494</v>
      </c>
      <c r="G79">
        <v>494</v>
      </c>
      <c r="H79">
        <v>55</v>
      </c>
      <c r="I79">
        <v>22580</v>
      </c>
      <c r="J79">
        <v>22214</v>
      </c>
      <c r="K79">
        <v>109</v>
      </c>
      <c r="L79" s="4" t="s">
        <v>363</v>
      </c>
      <c r="M79" s="4" t="s">
        <v>37</v>
      </c>
      <c r="N79" s="4" t="s">
        <v>16</v>
      </c>
      <c r="O79" s="33">
        <f t="shared" si="1"/>
        <v>0.13476527900797167</v>
      </c>
      <c r="P79" s="92">
        <f>(_xlfn.XLOOKUP(Table1__3[[#This Row],[Campaign_Name]],Table3[Campaign_Name],Table3[Start_Date]))</f>
        <v>45667</v>
      </c>
      <c r="Q79" s="92">
        <f>(_xlfn.XLOOKUP(Table1__3[[#This Row],[Campaign_Name]],Table3[Campaign_Name],Table3[End_Date]))</f>
        <v>45698</v>
      </c>
      <c r="R79" s="4" t="str">
        <f>IF(Table1__3[[#This Row],[Date]] &lt; Table1__3[[#This Row],[Start_Date]], "Before",
   IF(AND(Table1__3[[#This Row],[Date]] &gt;= Table1__3[[#This Row],[Start_Date]], Table1__3[[#This Row],[Date]] &lt;= Table1__3[[#This Row],[End_Date]]), "During",
   "After"))</f>
        <v>During</v>
      </c>
      <c r="S79" s="31"/>
      <c r="T79" s="31"/>
    </row>
    <row r="80" spans="1:20">
      <c r="A80" s="4" t="s">
        <v>113</v>
      </c>
      <c r="B80" s="4" t="s">
        <v>28</v>
      </c>
      <c r="C80" s="92">
        <v>45304</v>
      </c>
      <c r="D80" s="4" t="s">
        <v>52</v>
      </c>
      <c r="E80" s="4" t="s">
        <v>24</v>
      </c>
      <c r="F80">
        <v>4781</v>
      </c>
      <c r="G80">
        <v>191</v>
      </c>
      <c r="H80">
        <v>122</v>
      </c>
      <c r="I80">
        <v>35535</v>
      </c>
      <c r="J80">
        <v>50777</v>
      </c>
      <c r="K80">
        <v>128</v>
      </c>
      <c r="L80" s="4" t="s">
        <v>19</v>
      </c>
      <c r="M80" s="4" t="s">
        <v>40</v>
      </c>
      <c r="N80" s="4" t="s">
        <v>53</v>
      </c>
      <c r="O80" s="33">
        <f t="shared" si="1"/>
        <v>0.14335162515829464</v>
      </c>
      <c r="P80" s="92">
        <f>(_xlfn.XLOOKUP(Table1__3[[#This Row],[Campaign_Name]],Table3[Campaign_Name],Table3[Start_Date]))</f>
        <v>45458</v>
      </c>
      <c r="Q80" s="92">
        <f>(_xlfn.XLOOKUP(Table1__3[[#This Row],[Campaign_Name]],Table3[Campaign_Name],Table3[End_Date]))</f>
        <v>45488</v>
      </c>
      <c r="R80" s="4" t="str">
        <f>IF(Table1__3[[#This Row],[Date]] &lt; Table1__3[[#This Row],[Start_Date]], "Before",
   IF(AND(Table1__3[[#This Row],[Date]] &gt;= Table1__3[[#This Row],[Start_Date]], Table1__3[[#This Row],[Date]] &lt;= Table1__3[[#This Row],[End_Date]]), "During",
   "After"))</f>
        <v>Before</v>
      </c>
      <c r="S80" s="31"/>
      <c r="T80" s="31"/>
    </row>
    <row r="81" spans="1:20">
      <c r="A81" s="4" t="s">
        <v>114</v>
      </c>
      <c r="B81" s="4" t="s">
        <v>13</v>
      </c>
      <c r="C81" s="92">
        <v>45825</v>
      </c>
      <c r="D81" s="4" t="s">
        <v>14</v>
      </c>
      <c r="E81" s="4" t="s">
        <v>29</v>
      </c>
      <c r="F81">
        <v>2284</v>
      </c>
      <c r="G81">
        <v>187</v>
      </c>
      <c r="H81">
        <v>260</v>
      </c>
      <c r="I81">
        <v>37400</v>
      </c>
      <c r="J81">
        <v>65014</v>
      </c>
      <c r="K81">
        <v>157</v>
      </c>
      <c r="L81" s="4" t="s">
        <v>40</v>
      </c>
      <c r="M81" s="4" t="s">
        <v>37</v>
      </c>
      <c r="N81" s="4" t="s">
        <v>16</v>
      </c>
      <c r="O81" s="33">
        <f t="shared" si="1"/>
        <v>7.3021390374331557E-2</v>
      </c>
      <c r="P81" s="92">
        <f>(_xlfn.XLOOKUP(Table1__3[[#This Row],[Campaign_Name]],Table3[Campaign_Name],Table3[Start_Date]))</f>
        <v>45667</v>
      </c>
      <c r="Q81" s="92">
        <f>(_xlfn.XLOOKUP(Table1__3[[#This Row],[Campaign_Name]],Table3[Campaign_Name],Table3[End_Date]))</f>
        <v>45698</v>
      </c>
      <c r="R81" s="4" t="str">
        <f>IF(Table1__3[[#This Row],[Date]] &lt; Table1__3[[#This Row],[Start_Date]], "Before",
   IF(AND(Table1__3[[#This Row],[Date]] &gt;= Table1__3[[#This Row],[Start_Date]], Table1__3[[#This Row],[Date]] &lt;= Table1__3[[#This Row],[End_Date]]), "During",
   "After"))</f>
        <v>After</v>
      </c>
      <c r="S81" s="31"/>
      <c r="T81" s="31"/>
    </row>
    <row r="82" spans="1:20">
      <c r="A82" s="4" t="s">
        <v>115</v>
      </c>
      <c r="B82" s="4" t="s">
        <v>22</v>
      </c>
      <c r="C82" s="92">
        <v>45723</v>
      </c>
      <c r="D82" s="4" t="s">
        <v>14</v>
      </c>
      <c r="E82" s="4" t="s">
        <v>33</v>
      </c>
      <c r="F82">
        <v>4234</v>
      </c>
      <c r="G82">
        <v>486</v>
      </c>
      <c r="H82">
        <v>276</v>
      </c>
      <c r="I82">
        <v>56623</v>
      </c>
      <c r="J82">
        <v>41343</v>
      </c>
      <c r="K82">
        <v>184</v>
      </c>
      <c r="L82" s="4" t="s">
        <v>40</v>
      </c>
      <c r="M82" s="4"/>
      <c r="N82" s="4" t="s">
        <v>20</v>
      </c>
      <c r="O82" s="33">
        <f t="shared" si="1"/>
        <v>8.8232696960599044E-2</v>
      </c>
      <c r="P82" s="92">
        <f>(_xlfn.XLOOKUP(Table1__3[[#This Row],[Campaign_Name]],Table3[Campaign_Name],Table3[Start_Date]))</f>
        <v>45717</v>
      </c>
      <c r="Q82" s="92">
        <f>(_xlfn.XLOOKUP(Table1__3[[#This Row],[Campaign_Name]],Table3[Campaign_Name],Table3[End_Date]))</f>
        <v>45747</v>
      </c>
      <c r="R82" s="4" t="str">
        <f>IF(Table1__3[[#This Row],[Date]] &lt; Table1__3[[#This Row],[Start_Date]], "Before",
   IF(AND(Table1__3[[#This Row],[Date]] &gt;= Table1__3[[#This Row],[Start_Date]], Table1__3[[#This Row],[Date]] &lt;= Table1__3[[#This Row],[End_Date]]), "During",
   "After"))</f>
        <v>During</v>
      </c>
      <c r="S82" s="31"/>
      <c r="T82" s="31"/>
    </row>
    <row r="83" spans="1:20">
      <c r="A83" s="4" t="s">
        <v>116</v>
      </c>
      <c r="B83" s="4" t="s">
        <v>13</v>
      </c>
      <c r="C83" s="92">
        <v>45530</v>
      </c>
      <c r="D83" s="4" t="s">
        <v>14</v>
      </c>
      <c r="E83" s="4" t="s">
        <v>46</v>
      </c>
      <c r="F83">
        <v>2102</v>
      </c>
      <c r="G83">
        <v>181</v>
      </c>
      <c r="H83">
        <v>306</v>
      </c>
      <c r="I83">
        <v>43650</v>
      </c>
      <c r="J83">
        <v>50079</v>
      </c>
      <c r="K83">
        <v>182</v>
      </c>
      <c r="L83" s="4" t="s">
        <v>19</v>
      </c>
      <c r="M83" s="4"/>
      <c r="N83" s="4" t="s">
        <v>20</v>
      </c>
      <c r="O83" s="33">
        <f t="shared" si="1"/>
        <v>5.9312714776632303E-2</v>
      </c>
      <c r="P83" s="92">
        <f>(_xlfn.XLOOKUP(Table1__3[[#This Row],[Campaign_Name]],Table3[Campaign_Name],Table3[Start_Date]))</f>
        <v>45717</v>
      </c>
      <c r="Q83" s="92">
        <f>(_xlfn.XLOOKUP(Table1__3[[#This Row],[Campaign_Name]],Table3[Campaign_Name],Table3[End_Date]))</f>
        <v>45747</v>
      </c>
      <c r="R83" s="4" t="str">
        <f>IF(Table1__3[[#This Row],[Date]] &lt; Table1__3[[#This Row],[Start_Date]], "Before",
   IF(AND(Table1__3[[#This Row],[Date]] &gt;= Table1__3[[#This Row],[Start_Date]], Table1__3[[#This Row],[Date]] &lt;= Table1__3[[#This Row],[End_Date]]), "During",
   "After"))</f>
        <v>Before</v>
      </c>
      <c r="S83" s="31"/>
      <c r="T83" s="31"/>
    </row>
    <row r="84" spans="1:20">
      <c r="A84" s="4" t="s">
        <v>117</v>
      </c>
      <c r="B84" s="4" t="s">
        <v>22</v>
      </c>
      <c r="C84" s="92">
        <v>45660</v>
      </c>
      <c r="D84" s="4" t="s">
        <v>23</v>
      </c>
      <c r="E84" s="4" t="s">
        <v>33</v>
      </c>
      <c r="F84">
        <v>4845</v>
      </c>
      <c r="G84">
        <v>158</v>
      </c>
      <c r="H84">
        <v>84</v>
      </c>
      <c r="I84">
        <v>34578</v>
      </c>
      <c r="J84">
        <v>51480</v>
      </c>
      <c r="K84">
        <v>180</v>
      </c>
      <c r="L84" s="4" t="s">
        <v>40</v>
      </c>
      <c r="M84" s="4" t="s">
        <v>37</v>
      </c>
      <c r="N84" s="4" t="s">
        <v>16</v>
      </c>
      <c r="O84" s="33">
        <f t="shared" si="1"/>
        <v>0.1471166637746544</v>
      </c>
      <c r="P84" s="92">
        <f>(_xlfn.XLOOKUP(Table1__3[[#This Row],[Campaign_Name]],Table3[Campaign_Name],Table3[Start_Date]))</f>
        <v>45667</v>
      </c>
      <c r="Q84" s="92">
        <f>(_xlfn.XLOOKUP(Table1__3[[#This Row],[Campaign_Name]],Table3[Campaign_Name],Table3[End_Date]))</f>
        <v>45698</v>
      </c>
      <c r="R84" s="4" t="str">
        <f>IF(Table1__3[[#This Row],[Date]] &lt; Table1__3[[#This Row],[Start_Date]], "Before",
   IF(AND(Table1__3[[#This Row],[Date]] &gt;= Table1__3[[#This Row],[Start_Date]], Table1__3[[#This Row],[Date]] &lt;= Table1__3[[#This Row],[End_Date]]), "During",
   "After"))</f>
        <v>Before</v>
      </c>
      <c r="S84" s="31"/>
      <c r="T84" s="31"/>
    </row>
    <row r="85" spans="1:20">
      <c r="A85" s="4" t="s">
        <v>118</v>
      </c>
      <c r="B85" s="4" t="s">
        <v>22</v>
      </c>
      <c r="C85" s="92">
        <v>45507</v>
      </c>
      <c r="D85" s="4" t="s">
        <v>14</v>
      </c>
      <c r="E85" s="4" t="s">
        <v>46</v>
      </c>
      <c r="F85">
        <v>4247</v>
      </c>
      <c r="G85">
        <v>390</v>
      </c>
      <c r="H85">
        <v>213</v>
      </c>
      <c r="I85">
        <v>29785</v>
      </c>
      <c r="J85">
        <v>57768</v>
      </c>
      <c r="K85">
        <v>122</v>
      </c>
      <c r="L85" s="4" t="s">
        <v>37</v>
      </c>
      <c r="M85" s="4"/>
      <c r="N85" s="4" t="s">
        <v>16</v>
      </c>
      <c r="O85" s="33">
        <f t="shared" si="1"/>
        <v>0.16283364109451065</v>
      </c>
      <c r="P85" s="92">
        <f>(_xlfn.XLOOKUP(Table1__3[[#This Row],[Campaign_Name]],Table3[Campaign_Name],Table3[Start_Date]))</f>
        <v>45667</v>
      </c>
      <c r="Q85" s="92">
        <f>(_xlfn.XLOOKUP(Table1__3[[#This Row],[Campaign_Name]],Table3[Campaign_Name],Table3[End_Date]))</f>
        <v>45698</v>
      </c>
      <c r="R85" s="4" t="str">
        <f>IF(Table1__3[[#This Row],[Date]] &lt; Table1__3[[#This Row],[Start_Date]], "Before",
   IF(AND(Table1__3[[#This Row],[Date]] &gt;= Table1__3[[#This Row],[Start_Date]], Table1__3[[#This Row],[Date]] &lt;= Table1__3[[#This Row],[End_Date]]), "During",
   "After"))</f>
        <v>Before</v>
      </c>
      <c r="S85" s="31"/>
      <c r="T85" s="31"/>
    </row>
    <row r="86" spans="1:20">
      <c r="A86" s="4" t="s">
        <v>119</v>
      </c>
      <c r="B86" s="4" t="s">
        <v>13</v>
      </c>
      <c r="C86" s="92">
        <v>45522</v>
      </c>
      <c r="D86" s="4" t="s">
        <v>14</v>
      </c>
      <c r="E86" s="4" t="s">
        <v>18</v>
      </c>
      <c r="F86">
        <v>2965</v>
      </c>
      <c r="G86">
        <v>328</v>
      </c>
      <c r="H86">
        <v>171</v>
      </c>
      <c r="I86">
        <v>57685</v>
      </c>
      <c r="J86">
        <v>67536</v>
      </c>
      <c r="K86">
        <v>264</v>
      </c>
      <c r="L86" s="4" t="s">
        <v>40</v>
      </c>
      <c r="M86" s="4" t="s">
        <v>37</v>
      </c>
      <c r="N86" s="4" t="s">
        <v>16</v>
      </c>
      <c r="O86" s="33">
        <f t="shared" si="1"/>
        <v>6.0050273034584378E-2</v>
      </c>
      <c r="P86" s="92">
        <f>(_xlfn.XLOOKUP(Table1__3[[#This Row],[Campaign_Name]],Table3[Campaign_Name],Table3[Start_Date]))</f>
        <v>45667</v>
      </c>
      <c r="Q86" s="92">
        <f>(_xlfn.XLOOKUP(Table1__3[[#This Row],[Campaign_Name]],Table3[Campaign_Name],Table3[End_Date]))</f>
        <v>45698</v>
      </c>
      <c r="R86" s="4" t="str">
        <f>IF(Table1__3[[#This Row],[Date]] &lt; Table1__3[[#This Row],[Start_Date]], "Before",
   IF(AND(Table1__3[[#This Row],[Date]] &gt;= Table1__3[[#This Row],[Start_Date]], Table1__3[[#This Row],[Date]] &lt;= Table1__3[[#This Row],[End_Date]]), "During",
   "After"))</f>
        <v>Before</v>
      </c>
      <c r="S86" s="31"/>
      <c r="T86" s="31"/>
    </row>
    <row r="87" spans="1:20">
      <c r="A87" s="4" t="s">
        <v>120</v>
      </c>
      <c r="B87" s="4" t="s">
        <v>22</v>
      </c>
      <c r="C87" s="92">
        <v>45791</v>
      </c>
      <c r="D87" s="4" t="s">
        <v>23</v>
      </c>
      <c r="E87" s="4" t="s">
        <v>26</v>
      </c>
      <c r="F87">
        <v>1371</v>
      </c>
      <c r="G87">
        <v>139</v>
      </c>
      <c r="H87">
        <v>96</v>
      </c>
      <c r="I87">
        <v>36140</v>
      </c>
      <c r="J87">
        <v>39395</v>
      </c>
      <c r="K87">
        <v>169</v>
      </c>
      <c r="L87" s="4" t="s">
        <v>40</v>
      </c>
      <c r="M87" s="4" t="s">
        <v>37</v>
      </c>
      <c r="N87" s="4" t="s">
        <v>16</v>
      </c>
      <c r="O87" s="33">
        <f t="shared" si="1"/>
        <v>4.4438295517432211E-2</v>
      </c>
      <c r="P87" s="92">
        <f>(_xlfn.XLOOKUP(Table1__3[[#This Row],[Campaign_Name]],Table3[Campaign_Name],Table3[Start_Date]))</f>
        <v>45667</v>
      </c>
      <c r="Q87" s="92">
        <f>(_xlfn.XLOOKUP(Table1__3[[#This Row],[Campaign_Name]],Table3[Campaign_Name],Table3[End_Date]))</f>
        <v>45698</v>
      </c>
      <c r="R87" s="4" t="str">
        <f>IF(Table1__3[[#This Row],[Date]] &lt; Table1__3[[#This Row],[Start_Date]], "Before",
   IF(AND(Table1__3[[#This Row],[Date]] &gt;= Table1__3[[#This Row],[Start_Date]], Table1__3[[#This Row],[Date]] &lt;= Table1__3[[#This Row],[End_Date]]), "During",
   "After"))</f>
        <v>After</v>
      </c>
      <c r="S87" s="31"/>
      <c r="T87" s="31"/>
    </row>
    <row r="88" spans="1:20">
      <c r="A88" s="4" t="s">
        <v>121</v>
      </c>
      <c r="B88" s="4" t="s">
        <v>22</v>
      </c>
      <c r="C88" s="92">
        <v>45405</v>
      </c>
      <c r="D88" s="4" t="s">
        <v>23</v>
      </c>
      <c r="E88" s="4" t="s">
        <v>15</v>
      </c>
      <c r="F88">
        <v>2683</v>
      </c>
      <c r="G88">
        <v>496</v>
      </c>
      <c r="H88">
        <v>89</v>
      </c>
      <c r="I88">
        <v>53435</v>
      </c>
      <c r="J88">
        <v>30334</v>
      </c>
      <c r="K88">
        <v>160</v>
      </c>
      <c r="L88" s="4" t="s">
        <v>40</v>
      </c>
      <c r="M88" s="4" t="s">
        <v>37</v>
      </c>
      <c r="N88" s="4" t="s">
        <v>16</v>
      </c>
      <c r="O88" s="33">
        <f t="shared" si="1"/>
        <v>6.1158416768035934E-2</v>
      </c>
      <c r="P88" s="92">
        <f>(_xlfn.XLOOKUP(Table1__3[[#This Row],[Campaign_Name]],Table3[Campaign_Name],Table3[Start_Date]))</f>
        <v>45667</v>
      </c>
      <c r="Q88" s="92">
        <f>(_xlfn.XLOOKUP(Table1__3[[#This Row],[Campaign_Name]],Table3[Campaign_Name],Table3[End_Date]))</f>
        <v>45698</v>
      </c>
      <c r="R88" s="4" t="str">
        <f>IF(Table1__3[[#This Row],[Date]] &lt; Table1__3[[#This Row],[Start_Date]], "Before",
   IF(AND(Table1__3[[#This Row],[Date]] &gt;= Table1__3[[#This Row],[Start_Date]], Table1__3[[#This Row],[Date]] &lt;= Table1__3[[#This Row],[End_Date]]), "During",
   "After"))</f>
        <v>Before</v>
      </c>
      <c r="S88" s="31"/>
      <c r="T88" s="31"/>
    </row>
    <row r="89" spans="1:20">
      <c r="A89" s="4" t="s">
        <v>122</v>
      </c>
      <c r="B89" s="4" t="s">
        <v>22</v>
      </c>
      <c r="C89" s="92">
        <v>45705</v>
      </c>
      <c r="D89" s="4" t="s">
        <v>23</v>
      </c>
      <c r="E89" s="4" t="s">
        <v>31</v>
      </c>
      <c r="F89">
        <v>4796</v>
      </c>
      <c r="G89">
        <v>427</v>
      </c>
      <c r="H89">
        <v>339</v>
      </c>
      <c r="I89">
        <v>30752</v>
      </c>
      <c r="J89">
        <v>33870</v>
      </c>
      <c r="K89">
        <v>298</v>
      </c>
      <c r="L89" s="4" t="s">
        <v>40</v>
      </c>
      <c r="M89" s="4" t="s">
        <v>37</v>
      </c>
      <c r="N89" s="4" t="s">
        <v>16</v>
      </c>
      <c r="O89" s="33">
        <f t="shared" si="1"/>
        <v>0.18086628511966701</v>
      </c>
      <c r="P89" s="92">
        <f>(_xlfn.XLOOKUP(Table1__3[[#This Row],[Campaign_Name]],Table3[Campaign_Name],Table3[Start_Date]))</f>
        <v>45667</v>
      </c>
      <c r="Q89" s="92">
        <f>(_xlfn.XLOOKUP(Table1__3[[#This Row],[Campaign_Name]],Table3[Campaign_Name],Table3[End_Date]))</f>
        <v>45698</v>
      </c>
      <c r="R89" s="4" t="str">
        <f>IF(Table1__3[[#This Row],[Date]] &lt; Table1__3[[#This Row],[Start_Date]], "Before",
   IF(AND(Table1__3[[#This Row],[Date]] &gt;= Table1__3[[#This Row],[Start_Date]], Table1__3[[#This Row],[Date]] &lt;= Table1__3[[#This Row],[End_Date]]), "During",
   "After"))</f>
        <v>After</v>
      </c>
      <c r="S89" s="31"/>
      <c r="T89" s="31"/>
    </row>
    <row r="90" spans="1:20">
      <c r="A90" s="4" t="s">
        <v>123</v>
      </c>
      <c r="B90" s="4" t="s">
        <v>13</v>
      </c>
      <c r="C90" s="92">
        <v>45630</v>
      </c>
      <c r="D90" s="4" t="s">
        <v>14</v>
      </c>
      <c r="E90" s="4" t="s">
        <v>26</v>
      </c>
      <c r="F90">
        <v>2601</v>
      </c>
      <c r="G90">
        <v>336</v>
      </c>
      <c r="H90">
        <v>260</v>
      </c>
      <c r="I90">
        <v>32368</v>
      </c>
      <c r="J90">
        <v>49028</v>
      </c>
      <c r="K90">
        <v>120</v>
      </c>
      <c r="L90" s="4" t="s">
        <v>40</v>
      </c>
      <c r="M90" s="4" t="s">
        <v>37</v>
      </c>
      <c r="N90" s="4" t="s">
        <v>16</v>
      </c>
      <c r="O90" s="33">
        <f t="shared" si="1"/>
        <v>9.8770390509144837E-2</v>
      </c>
      <c r="P90" s="92">
        <f>(_xlfn.XLOOKUP(Table1__3[[#This Row],[Campaign_Name]],Table3[Campaign_Name],Table3[Start_Date]))</f>
        <v>45667</v>
      </c>
      <c r="Q90" s="92">
        <f>(_xlfn.XLOOKUP(Table1__3[[#This Row],[Campaign_Name]],Table3[Campaign_Name],Table3[End_Date]))</f>
        <v>45698</v>
      </c>
      <c r="R90" s="4" t="str">
        <f>IF(Table1__3[[#This Row],[Date]] &lt; Table1__3[[#This Row],[Start_Date]], "Before",
   IF(AND(Table1__3[[#This Row],[Date]] &gt;= Table1__3[[#This Row],[Start_Date]], Table1__3[[#This Row],[Date]] &lt;= Table1__3[[#This Row],[End_Date]]), "During",
   "After"))</f>
        <v>Before</v>
      </c>
      <c r="S90" s="31"/>
      <c r="T90" s="31"/>
    </row>
    <row r="91" spans="1:20">
      <c r="A91" s="4" t="s">
        <v>124</v>
      </c>
      <c r="B91" s="4" t="s">
        <v>22</v>
      </c>
      <c r="C91" s="92">
        <v>45495</v>
      </c>
      <c r="D91" s="4" t="s">
        <v>23</v>
      </c>
      <c r="E91" s="4" t="s">
        <v>26</v>
      </c>
      <c r="F91">
        <v>3336</v>
      </c>
      <c r="G91">
        <v>229</v>
      </c>
      <c r="H91">
        <v>337</v>
      </c>
      <c r="I91">
        <v>22117</v>
      </c>
      <c r="J91">
        <v>26205</v>
      </c>
      <c r="K91">
        <v>160</v>
      </c>
      <c r="L91" s="4" t="s">
        <v>363</v>
      </c>
      <c r="M91" s="4" t="s">
        <v>37</v>
      </c>
      <c r="N91" s="4" t="s">
        <v>16</v>
      </c>
      <c r="O91" s="33">
        <f t="shared" si="1"/>
        <v>0.17642537414658407</v>
      </c>
      <c r="P91" s="92">
        <f>(_xlfn.XLOOKUP(Table1__3[[#This Row],[Campaign_Name]],Table3[Campaign_Name],Table3[Start_Date]))</f>
        <v>45667</v>
      </c>
      <c r="Q91" s="92">
        <f>(_xlfn.XLOOKUP(Table1__3[[#This Row],[Campaign_Name]],Table3[Campaign_Name],Table3[End_Date]))</f>
        <v>45698</v>
      </c>
      <c r="R91" s="4" t="str">
        <f>IF(Table1__3[[#This Row],[Date]] &lt; Table1__3[[#This Row],[Start_Date]], "Before",
   IF(AND(Table1__3[[#This Row],[Date]] &gt;= Table1__3[[#This Row],[Start_Date]], Table1__3[[#This Row],[Date]] &lt;= Table1__3[[#This Row],[End_Date]]), "During",
   "After"))</f>
        <v>Before</v>
      </c>
      <c r="S91" s="31"/>
      <c r="T91" s="31"/>
    </row>
    <row r="92" spans="1:20">
      <c r="A92" s="4" t="s">
        <v>125</v>
      </c>
      <c r="B92" s="4" t="s">
        <v>22</v>
      </c>
      <c r="C92" s="92">
        <v>45774</v>
      </c>
      <c r="D92" s="4" t="s">
        <v>14</v>
      </c>
      <c r="E92" s="4" t="s">
        <v>18</v>
      </c>
      <c r="F92">
        <v>1165</v>
      </c>
      <c r="G92">
        <v>294</v>
      </c>
      <c r="H92">
        <v>163</v>
      </c>
      <c r="I92">
        <v>20659</v>
      </c>
      <c r="J92">
        <v>45926</v>
      </c>
      <c r="K92">
        <v>111</v>
      </c>
      <c r="L92" s="4" t="s">
        <v>40</v>
      </c>
      <c r="M92" s="4"/>
      <c r="N92" s="4" t="s">
        <v>20</v>
      </c>
      <c r="O92" s="33">
        <f t="shared" si="1"/>
        <v>7.8512996756861422E-2</v>
      </c>
      <c r="P92" s="92">
        <f>(_xlfn.XLOOKUP(Table1__3[[#This Row],[Campaign_Name]],Table3[Campaign_Name],Table3[Start_Date]))</f>
        <v>45717</v>
      </c>
      <c r="Q92" s="92">
        <f>(_xlfn.XLOOKUP(Table1__3[[#This Row],[Campaign_Name]],Table3[Campaign_Name],Table3[End_Date]))</f>
        <v>45747</v>
      </c>
      <c r="R92" s="4" t="str">
        <f>IF(Table1__3[[#This Row],[Date]] &lt; Table1__3[[#This Row],[Start_Date]], "Before",
   IF(AND(Table1__3[[#This Row],[Date]] &gt;= Table1__3[[#This Row],[Start_Date]], Table1__3[[#This Row],[Date]] &lt;= Table1__3[[#This Row],[End_Date]]), "During",
   "After"))</f>
        <v>After</v>
      </c>
      <c r="S92" s="31"/>
      <c r="T92" s="31"/>
    </row>
    <row r="93" spans="1:20">
      <c r="A93" s="4" t="s">
        <v>126</v>
      </c>
      <c r="B93" s="4" t="s">
        <v>28</v>
      </c>
      <c r="C93" s="92">
        <v>45376</v>
      </c>
      <c r="D93" s="4" t="s">
        <v>52</v>
      </c>
      <c r="E93" s="4" t="s">
        <v>18</v>
      </c>
      <c r="F93">
        <v>1948</v>
      </c>
      <c r="G93">
        <v>155</v>
      </c>
      <c r="H93">
        <v>315</v>
      </c>
      <c r="I93">
        <v>30321</v>
      </c>
      <c r="J93">
        <v>57121</v>
      </c>
      <c r="K93">
        <v>82</v>
      </c>
      <c r="L93" s="4" t="s">
        <v>19</v>
      </c>
      <c r="M93" s="4" t="s">
        <v>40</v>
      </c>
      <c r="N93" s="4" t="s">
        <v>53</v>
      </c>
      <c r="O93" s="33">
        <f t="shared" si="1"/>
        <v>7.974671020085089E-2</v>
      </c>
      <c r="P93" s="92">
        <f>(_xlfn.XLOOKUP(Table1__3[[#This Row],[Campaign_Name]],Table3[Campaign_Name],Table3[Start_Date]))</f>
        <v>45458</v>
      </c>
      <c r="Q93" s="92">
        <f>(_xlfn.XLOOKUP(Table1__3[[#This Row],[Campaign_Name]],Table3[Campaign_Name],Table3[End_Date]))</f>
        <v>45488</v>
      </c>
      <c r="R93" s="4" t="str">
        <f>IF(Table1__3[[#This Row],[Date]] &lt; Table1__3[[#This Row],[Start_Date]], "Before",
   IF(AND(Table1__3[[#This Row],[Date]] &gt;= Table1__3[[#This Row],[Start_Date]], Table1__3[[#This Row],[Date]] &lt;= Table1__3[[#This Row],[End_Date]]), "During",
   "After"))</f>
        <v>Before</v>
      </c>
      <c r="S93" s="31"/>
      <c r="T93" s="31"/>
    </row>
    <row r="94" spans="1:20">
      <c r="A94" s="4" t="s">
        <v>127</v>
      </c>
      <c r="B94" s="4" t="s">
        <v>13</v>
      </c>
      <c r="C94" s="92">
        <v>45351</v>
      </c>
      <c r="D94" s="4" t="s">
        <v>14</v>
      </c>
      <c r="E94" s="4" t="s">
        <v>44</v>
      </c>
      <c r="F94">
        <v>1100</v>
      </c>
      <c r="G94">
        <v>229</v>
      </c>
      <c r="H94">
        <v>312</v>
      </c>
      <c r="I94">
        <v>25641</v>
      </c>
      <c r="J94">
        <v>34601</v>
      </c>
      <c r="K94">
        <v>169</v>
      </c>
      <c r="L94" s="4" t="s">
        <v>19</v>
      </c>
      <c r="M94" s="4"/>
      <c r="N94" s="4" t="s">
        <v>20</v>
      </c>
      <c r="O94" s="33">
        <f t="shared" si="1"/>
        <v>6.3999063999063993E-2</v>
      </c>
      <c r="P94" s="92">
        <f>(_xlfn.XLOOKUP(Table1__3[[#This Row],[Campaign_Name]],Table3[Campaign_Name],Table3[Start_Date]))</f>
        <v>45717</v>
      </c>
      <c r="Q94" s="92">
        <f>(_xlfn.XLOOKUP(Table1__3[[#This Row],[Campaign_Name]],Table3[Campaign_Name],Table3[End_Date]))</f>
        <v>45747</v>
      </c>
      <c r="R94" s="4" t="str">
        <f>IF(Table1__3[[#This Row],[Date]] &lt; Table1__3[[#This Row],[Start_Date]], "Before",
   IF(AND(Table1__3[[#This Row],[Date]] &gt;= Table1__3[[#This Row],[Start_Date]], Table1__3[[#This Row],[Date]] &lt;= Table1__3[[#This Row],[End_Date]]), "During",
   "After"))</f>
        <v>Before</v>
      </c>
      <c r="S94" s="31"/>
      <c r="T94" s="31"/>
    </row>
    <row r="95" spans="1:20">
      <c r="A95" s="4" t="s">
        <v>128</v>
      </c>
      <c r="B95" s="4" t="s">
        <v>22</v>
      </c>
      <c r="C95" s="92">
        <v>45609</v>
      </c>
      <c r="D95" s="4" t="s">
        <v>23</v>
      </c>
      <c r="E95" s="4" t="s">
        <v>36</v>
      </c>
      <c r="F95">
        <v>4628</v>
      </c>
      <c r="G95">
        <v>257</v>
      </c>
      <c r="H95">
        <v>397</v>
      </c>
      <c r="I95">
        <v>36686</v>
      </c>
      <c r="J95">
        <v>54683</v>
      </c>
      <c r="K95">
        <v>98</v>
      </c>
      <c r="L95" s="4" t="s">
        <v>40</v>
      </c>
      <c r="M95" s="4" t="s">
        <v>37</v>
      </c>
      <c r="N95" s="4" t="s">
        <v>16</v>
      </c>
      <c r="O95" s="33">
        <f t="shared" si="1"/>
        <v>0.1439786294499264</v>
      </c>
      <c r="P95" s="92">
        <f>(_xlfn.XLOOKUP(Table1__3[[#This Row],[Campaign_Name]],Table3[Campaign_Name],Table3[Start_Date]))</f>
        <v>45667</v>
      </c>
      <c r="Q95" s="92">
        <f>(_xlfn.XLOOKUP(Table1__3[[#This Row],[Campaign_Name]],Table3[Campaign_Name],Table3[End_Date]))</f>
        <v>45698</v>
      </c>
      <c r="R95" s="4" t="str">
        <f>IF(Table1__3[[#This Row],[Date]] &lt; Table1__3[[#This Row],[Start_Date]], "Before",
   IF(AND(Table1__3[[#This Row],[Date]] &gt;= Table1__3[[#This Row],[Start_Date]], Table1__3[[#This Row],[Date]] &lt;= Table1__3[[#This Row],[End_Date]]), "During",
   "After"))</f>
        <v>Before</v>
      </c>
      <c r="S95" s="31"/>
      <c r="T95" s="31"/>
    </row>
    <row r="96" spans="1:20">
      <c r="A96" s="4" t="s">
        <v>129</v>
      </c>
      <c r="B96" s="4" t="s">
        <v>13</v>
      </c>
      <c r="C96" s="92">
        <v>45373</v>
      </c>
      <c r="D96" s="4" t="s">
        <v>23</v>
      </c>
      <c r="E96" s="4" t="s">
        <v>15</v>
      </c>
      <c r="F96">
        <v>2319</v>
      </c>
      <c r="G96">
        <v>484</v>
      </c>
      <c r="H96">
        <v>193</v>
      </c>
      <c r="I96">
        <v>21202</v>
      </c>
      <c r="J96">
        <v>18091</v>
      </c>
      <c r="K96">
        <v>241</v>
      </c>
      <c r="L96" s="4" t="s">
        <v>37</v>
      </c>
      <c r="M96" s="4"/>
      <c r="N96" s="4" t="s">
        <v>50</v>
      </c>
      <c r="O96" s="33">
        <f t="shared" si="1"/>
        <v>0.14130742382794076</v>
      </c>
      <c r="P96" s="92">
        <f>(_xlfn.XLOOKUP(Table1__3[[#This Row],[Campaign_Name]],Table3[Campaign_Name],Table3[Start_Date]))</f>
        <v>45627</v>
      </c>
      <c r="Q96" s="92">
        <f>(_xlfn.XLOOKUP(Table1__3[[#This Row],[Campaign_Name]],Table3[Campaign_Name],Table3[End_Date]))</f>
        <v>45657</v>
      </c>
      <c r="R96" s="4" t="str">
        <f>IF(Table1__3[[#This Row],[Date]] &lt; Table1__3[[#This Row],[Start_Date]], "Before",
   IF(AND(Table1__3[[#This Row],[Date]] &gt;= Table1__3[[#This Row],[Start_Date]], Table1__3[[#This Row],[Date]] &lt;= Table1__3[[#This Row],[End_Date]]), "During",
   "After"))</f>
        <v>Before</v>
      </c>
      <c r="S96" s="31"/>
      <c r="T96" s="31"/>
    </row>
    <row r="97" spans="1:20">
      <c r="A97" s="4" t="s">
        <v>130</v>
      </c>
      <c r="B97" s="4" t="s">
        <v>22</v>
      </c>
      <c r="C97" s="92">
        <v>45367</v>
      </c>
      <c r="D97" s="4" t="s">
        <v>23</v>
      </c>
      <c r="E97" s="4" t="s">
        <v>26</v>
      </c>
      <c r="F97">
        <v>2895</v>
      </c>
      <c r="G97">
        <v>292</v>
      </c>
      <c r="H97">
        <v>90</v>
      </c>
      <c r="I97">
        <v>24223</v>
      </c>
      <c r="J97">
        <v>54626</v>
      </c>
      <c r="K97">
        <v>114</v>
      </c>
      <c r="L97" s="4" t="s">
        <v>40</v>
      </c>
      <c r="M97" s="4" t="s">
        <v>37</v>
      </c>
      <c r="N97" s="4" t="s">
        <v>16</v>
      </c>
      <c r="O97" s="33">
        <f t="shared" si="1"/>
        <v>0.13528464682326713</v>
      </c>
      <c r="P97" s="92">
        <f>(_xlfn.XLOOKUP(Table1__3[[#This Row],[Campaign_Name]],Table3[Campaign_Name],Table3[Start_Date]))</f>
        <v>45667</v>
      </c>
      <c r="Q97" s="92">
        <f>(_xlfn.XLOOKUP(Table1__3[[#This Row],[Campaign_Name]],Table3[Campaign_Name],Table3[End_Date]))</f>
        <v>45698</v>
      </c>
      <c r="R97" s="4" t="str">
        <f>IF(Table1__3[[#This Row],[Date]] &lt; Table1__3[[#This Row],[Start_Date]], "Before",
   IF(AND(Table1__3[[#This Row],[Date]] &gt;= Table1__3[[#This Row],[Start_Date]], Table1__3[[#This Row],[Date]] &lt;= Table1__3[[#This Row],[End_Date]]), "During",
   "After"))</f>
        <v>Before</v>
      </c>
      <c r="S97" s="31"/>
      <c r="T97" s="31"/>
    </row>
    <row r="98" spans="1:20">
      <c r="A98" s="4" t="s">
        <v>131</v>
      </c>
      <c r="B98" s="4" t="s">
        <v>13</v>
      </c>
      <c r="C98" s="92">
        <v>45317</v>
      </c>
      <c r="D98" s="4" t="s">
        <v>14</v>
      </c>
      <c r="E98" s="4" t="s">
        <v>31</v>
      </c>
      <c r="F98">
        <v>3878</v>
      </c>
      <c r="G98">
        <v>431</v>
      </c>
      <c r="H98">
        <v>97</v>
      </c>
      <c r="I98">
        <v>41763</v>
      </c>
      <c r="J98">
        <v>29729</v>
      </c>
      <c r="K98">
        <v>191</v>
      </c>
      <c r="L98" s="4" t="s">
        <v>19</v>
      </c>
      <c r="M98" s="4"/>
      <c r="N98" s="4" t="s">
        <v>20</v>
      </c>
      <c r="O98" s="33">
        <f t="shared" si="1"/>
        <v>0.10550008380623997</v>
      </c>
      <c r="P98" s="92">
        <f>(_xlfn.XLOOKUP(Table1__3[[#This Row],[Campaign_Name]],Table3[Campaign_Name],Table3[Start_Date]))</f>
        <v>45717</v>
      </c>
      <c r="Q98" s="92">
        <f>(_xlfn.XLOOKUP(Table1__3[[#This Row],[Campaign_Name]],Table3[Campaign_Name],Table3[End_Date]))</f>
        <v>45747</v>
      </c>
      <c r="R98" s="4" t="str">
        <f>IF(Table1__3[[#This Row],[Date]] &lt; Table1__3[[#This Row],[Start_Date]], "Before",
   IF(AND(Table1__3[[#This Row],[Date]] &gt;= Table1__3[[#This Row],[Start_Date]], Table1__3[[#This Row],[Date]] &lt;= Table1__3[[#This Row],[End_Date]]), "During",
   "After"))</f>
        <v>Before</v>
      </c>
      <c r="S98" s="31"/>
      <c r="T98" s="31"/>
    </row>
    <row r="99" spans="1:20">
      <c r="A99" s="4" t="s">
        <v>132</v>
      </c>
      <c r="B99" s="4" t="s">
        <v>22</v>
      </c>
      <c r="C99" s="92">
        <v>45366</v>
      </c>
      <c r="D99" s="4" t="s">
        <v>23</v>
      </c>
      <c r="E99" s="4" t="s">
        <v>33</v>
      </c>
      <c r="F99">
        <v>4969</v>
      </c>
      <c r="G99">
        <v>433</v>
      </c>
      <c r="H99">
        <v>237</v>
      </c>
      <c r="I99">
        <v>59552</v>
      </c>
      <c r="J99">
        <v>23885</v>
      </c>
      <c r="K99">
        <v>157</v>
      </c>
      <c r="L99" s="4" t="s">
        <v>19</v>
      </c>
      <c r="M99" s="4" t="s">
        <v>363</v>
      </c>
      <c r="N99" s="4" t="s">
        <v>16</v>
      </c>
      <c r="O99" s="33">
        <f t="shared" si="1"/>
        <v>9.4690354648038683E-2</v>
      </c>
      <c r="P99" s="92">
        <f>(_xlfn.XLOOKUP(Table1__3[[#This Row],[Campaign_Name]],Table3[Campaign_Name],Table3[Start_Date]))</f>
        <v>45667</v>
      </c>
      <c r="Q99" s="92">
        <f>(_xlfn.XLOOKUP(Table1__3[[#This Row],[Campaign_Name]],Table3[Campaign_Name],Table3[End_Date]))</f>
        <v>45698</v>
      </c>
      <c r="R99" s="4" t="str">
        <f>IF(Table1__3[[#This Row],[Date]] &lt; Table1__3[[#This Row],[Start_Date]], "Before",
   IF(AND(Table1__3[[#This Row],[Date]] &gt;= Table1__3[[#This Row],[Start_Date]], Table1__3[[#This Row],[Date]] &lt;= Table1__3[[#This Row],[End_Date]]), "During",
   "After"))</f>
        <v>Before</v>
      </c>
      <c r="S99" s="31"/>
      <c r="T99" s="31"/>
    </row>
    <row r="100" spans="1:20">
      <c r="A100" s="4" t="s">
        <v>133</v>
      </c>
      <c r="B100" s="4" t="s">
        <v>22</v>
      </c>
      <c r="C100" s="92">
        <v>45580</v>
      </c>
      <c r="D100" s="4" t="s">
        <v>14</v>
      </c>
      <c r="E100" s="4" t="s">
        <v>26</v>
      </c>
      <c r="F100">
        <v>1984</v>
      </c>
      <c r="G100">
        <v>481</v>
      </c>
      <c r="H100">
        <v>356</v>
      </c>
      <c r="I100">
        <v>40681</v>
      </c>
      <c r="J100">
        <v>63111</v>
      </c>
      <c r="K100">
        <v>258</v>
      </c>
      <c r="L100" s="4" t="s">
        <v>37</v>
      </c>
      <c r="M100" s="4"/>
      <c r="N100" s="4" t="s">
        <v>16</v>
      </c>
      <c r="O100" s="33">
        <f t="shared" si="1"/>
        <v>6.934441139598338E-2</v>
      </c>
      <c r="P100" s="92">
        <f>(_xlfn.XLOOKUP(Table1__3[[#This Row],[Campaign_Name]],Table3[Campaign_Name],Table3[Start_Date]))</f>
        <v>45667</v>
      </c>
      <c r="Q100" s="92">
        <f>(_xlfn.XLOOKUP(Table1__3[[#This Row],[Campaign_Name]],Table3[Campaign_Name],Table3[End_Date]))</f>
        <v>45698</v>
      </c>
      <c r="R100" s="4" t="str">
        <f>IF(Table1__3[[#This Row],[Date]] &lt; Table1__3[[#This Row],[Start_Date]], "Before",
   IF(AND(Table1__3[[#This Row],[Date]] &gt;= Table1__3[[#This Row],[Start_Date]], Table1__3[[#This Row],[Date]] &lt;= Table1__3[[#This Row],[End_Date]]), "During",
   "After"))</f>
        <v>Before</v>
      </c>
      <c r="S100" s="31"/>
      <c r="T100" s="31"/>
    </row>
    <row r="101" spans="1:20">
      <c r="A101" s="4" t="s">
        <v>134</v>
      </c>
      <c r="B101" s="4" t="s">
        <v>13</v>
      </c>
      <c r="C101" s="92">
        <v>45494</v>
      </c>
      <c r="D101" s="4" t="s">
        <v>14</v>
      </c>
      <c r="E101" s="4" t="s">
        <v>15</v>
      </c>
      <c r="F101">
        <v>3004</v>
      </c>
      <c r="G101">
        <v>415</v>
      </c>
      <c r="H101">
        <v>218</v>
      </c>
      <c r="I101">
        <v>36090</v>
      </c>
      <c r="J101">
        <v>37073</v>
      </c>
      <c r="K101">
        <v>181</v>
      </c>
      <c r="L101" s="4" t="s">
        <v>19</v>
      </c>
      <c r="M101" s="4"/>
      <c r="N101" s="4" t="s">
        <v>20</v>
      </c>
      <c r="O101" s="33">
        <f t="shared" si="1"/>
        <v>0.10077583818232197</v>
      </c>
      <c r="P101" s="92">
        <f>(_xlfn.XLOOKUP(Table1__3[[#This Row],[Campaign_Name]],Table3[Campaign_Name],Table3[Start_Date]))</f>
        <v>45717</v>
      </c>
      <c r="Q101" s="92">
        <f>(_xlfn.XLOOKUP(Table1__3[[#This Row],[Campaign_Name]],Table3[Campaign_Name],Table3[End_Date]))</f>
        <v>45747</v>
      </c>
      <c r="R101" s="4" t="str">
        <f>IF(Table1__3[[#This Row],[Date]] &lt; Table1__3[[#This Row],[Start_Date]], "Before",
   IF(AND(Table1__3[[#This Row],[Date]] &gt;= Table1__3[[#This Row],[Start_Date]], Table1__3[[#This Row],[Date]] &lt;= Table1__3[[#This Row],[End_Date]]), "During",
   "After"))</f>
        <v>Before</v>
      </c>
      <c r="S101" s="31"/>
      <c r="T101" s="31"/>
    </row>
    <row r="102" spans="1:20">
      <c r="A102" s="4" t="s">
        <v>135</v>
      </c>
      <c r="B102" s="4" t="s">
        <v>22</v>
      </c>
      <c r="C102" s="92">
        <v>45577</v>
      </c>
      <c r="D102" s="4" t="s">
        <v>14</v>
      </c>
      <c r="E102" s="4" t="s">
        <v>33</v>
      </c>
      <c r="F102">
        <v>3169</v>
      </c>
      <c r="G102">
        <v>386</v>
      </c>
      <c r="H102">
        <v>175</v>
      </c>
      <c r="I102">
        <v>45012</v>
      </c>
      <c r="J102">
        <v>38508</v>
      </c>
      <c r="K102">
        <v>218</v>
      </c>
      <c r="L102" s="4" t="s">
        <v>37</v>
      </c>
      <c r="M102" s="4"/>
      <c r="N102" s="4" t="s">
        <v>16</v>
      </c>
      <c r="O102" s="33">
        <f t="shared" si="1"/>
        <v>8.2866791077934779E-2</v>
      </c>
      <c r="P102" s="92">
        <f>(_xlfn.XLOOKUP(Table1__3[[#This Row],[Campaign_Name]],Table3[Campaign_Name],Table3[Start_Date]))</f>
        <v>45667</v>
      </c>
      <c r="Q102" s="92">
        <f>(_xlfn.XLOOKUP(Table1__3[[#This Row],[Campaign_Name]],Table3[Campaign_Name],Table3[End_Date]))</f>
        <v>45698</v>
      </c>
      <c r="R102" s="4" t="str">
        <f>IF(Table1__3[[#This Row],[Date]] &lt; Table1__3[[#This Row],[Start_Date]], "Before",
   IF(AND(Table1__3[[#This Row],[Date]] &gt;= Table1__3[[#This Row],[Start_Date]], Table1__3[[#This Row],[Date]] &lt;= Table1__3[[#This Row],[End_Date]]), "During",
   "After"))</f>
        <v>Before</v>
      </c>
      <c r="S102" s="31"/>
      <c r="T102" s="31"/>
    </row>
    <row r="103" spans="1:20">
      <c r="A103" s="4" t="s">
        <v>136</v>
      </c>
      <c r="B103" s="4" t="s">
        <v>22</v>
      </c>
      <c r="C103" s="92">
        <v>45591</v>
      </c>
      <c r="D103" s="4" t="s">
        <v>14</v>
      </c>
      <c r="E103" s="4" t="s">
        <v>15</v>
      </c>
      <c r="F103">
        <v>3036</v>
      </c>
      <c r="G103">
        <v>293</v>
      </c>
      <c r="H103">
        <v>115</v>
      </c>
      <c r="I103">
        <v>23776</v>
      </c>
      <c r="J103">
        <v>46386</v>
      </c>
      <c r="K103">
        <v>282</v>
      </c>
      <c r="L103" s="4" t="s">
        <v>37</v>
      </c>
      <c r="M103" s="4"/>
      <c r="N103" s="4" t="s">
        <v>16</v>
      </c>
      <c r="O103" s="33">
        <f t="shared" si="1"/>
        <v>0.14485195154777927</v>
      </c>
      <c r="P103" s="92">
        <f>(_xlfn.XLOOKUP(Table1__3[[#This Row],[Campaign_Name]],Table3[Campaign_Name],Table3[Start_Date]))</f>
        <v>45667</v>
      </c>
      <c r="Q103" s="92">
        <f>(_xlfn.XLOOKUP(Table1__3[[#This Row],[Campaign_Name]],Table3[Campaign_Name],Table3[End_Date]))</f>
        <v>45698</v>
      </c>
      <c r="R103" s="4" t="str">
        <f>IF(Table1__3[[#This Row],[Date]] &lt; Table1__3[[#This Row],[Start_Date]], "Before",
   IF(AND(Table1__3[[#This Row],[Date]] &gt;= Table1__3[[#This Row],[Start_Date]], Table1__3[[#This Row],[Date]] &lt;= Table1__3[[#This Row],[End_Date]]), "During",
   "After"))</f>
        <v>Before</v>
      </c>
      <c r="S103" s="31"/>
      <c r="T103" s="31"/>
    </row>
    <row r="104" spans="1:20">
      <c r="A104" s="4" t="s">
        <v>137</v>
      </c>
      <c r="B104" s="4" t="s">
        <v>13</v>
      </c>
      <c r="C104" s="92">
        <v>45336</v>
      </c>
      <c r="D104" s="4" t="s">
        <v>14</v>
      </c>
      <c r="E104" s="4" t="s">
        <v>29</v>
      </c>
      <c r="F104">
        <v>1830</v>
      </c>
      <c r="G104">
        <v>112</v>
      </c>
      <c r="H104">
        <v>181</v>
      </c>
      <c r="I104">
        <v>31870</v>
      </c>
      <c r="J104">
        <v>55742</v>
      </c>
      <c r="K104">
        <v>263</v>
      </c>
      <c r="L104" s="4" t="s">
        <v>40</v>
      </c>
      <c r="M104" s="4" t="s">
        <v>37</v>
      </c>
      <c r="N104" s="4" t="s">
        <v>16</v>
      </c>
      <c r="O104" s="33">
        <f t="shared" si="1"/>
        <v>6.6614370881706936E-2</v>
      </c>
      <c r="P104" s="92">
        <f>(_xlfn.XLOOKUP(Table1__3[[#This Row],[Campaign_Name]],Table3[Campaign_Name],Table3[Start_Date]))</f>
        <v>45667</v>
      </c>
      <c r="Q104" s="92">
        <f>(_xlfn.XLOOKUP(Table1__3[[#This Row],[Campaign_Name]],Table3[Campaign_Name],Table3[End_Date]))</f>
        <v>45698</v>
      </c>
      <c r="R104" s="4" t="str">
        <f>IF(Table1__3[[#This Row],[Date]] &lt; Table1__3[[#This Row],[Start_Date]], "Before",
   IF(AND(Table1__3[[#This Row],[Date]] &gt;= Table1__3[[#This Row],[Start_Date]], Table1__3[[#This Row],[Date]] &lt;= Table1__3[[#This Row],[End_Date]]), "During",
   "After"))</f>
        <v>Before</v>
      </c>
      <c r="S104" s="31"/>
      <c r="T104" s="31"/>
    </row>
    <row r="105" spans="1:20">
      <c r="A105" s="4" t="s">
        <v>138</v>
      </c>
      <c r="B105" s="4" t="s">
        <v>22</v>
      </c>
      <c r="C105" s="92">
        <v>45413</v>
      </c>
      <c r="D105" s="4" t="s">
        <v>23</v>
      </c>
      <c r="E105" s="4" t="s">
        <v>31</v>
      </c>
      <c r="F105">
        <v>2587</v>
      </c>
      <c r="G105">
        <v>447</v>
      </c>
      <c r="H105">
        <v>183</v>
      </c>
      <c r="I105">
        <v>36266</v>
      </c>
      <c r="J105">
        <v>32877</v>
      </c>
      <c r="K105">
        <v>132</v>
      </c>
      <c r="L105" s="4" t="s">
        <v>19</v>
      </c>
      <c r="M105" s="4" t="s">
        <v>363</v>
      </c>
      <c r="N105" s="4" t="s">
        <v>16</v>
      </c>
      <c r="O105" s="33">
        <f t="shared" si="1"/>
        <v>8.8705674736667947E-2</v>
      </c>
      <c r="P105" s="92">
        <f>(_xlfn.XLOOKUP(Table1__3[[#This Row],[Campaign_Name]],Table3[Campaign_Name],Table3[Start_Date]))</f>
        <v>45667</v>
      </c>
      <c r="Q105" s="92">
        <f>(_xlfn.XLOOKUP(Table1__3[[#This Row],[Campaign_Name]],Table3[Campaign_Name],Table3[End_Date]))</f>
        <v>45698</v>
      </c>
      <c r="R105" s="4" t="str">
        <f>IF(Table1__3[[#This Row],[Date]] &lt; Table1__3[[#This Row],[Start_Date]], "Before",
   IF(AND(Table1__3[[#This Row],[Date]] &gt;= Table1__3[[#This Row],[Start_Date]], Table1__3[[#This Row],[Date]] &lt;= Table1__3[[#This Row],[End_Date]]), "During",
   "After"))</f>
        <v>Before</v>
      </c>
      <c r="S105" s="31"/>
      <c r="T105" s="31"/>
    </row>
    <row r="106" spans="1:20">
      <c r="A106" s="4" t="s">
        <v>139</v>
      </c>
      <c r="B106" s="4" t="s">
        <v>22</v>
      </c>
      <c r="C106" s="92">
        <v>45553</v>
      </c>
      <c r="D106" s="4" t="s">
        <v>14</v>
      </c>
      <c r="E106" s="4" t="s">
        <v>15</v>
      </c>
      <c r="F106">
        <v>2878</v>
      </c>
      <c r="G106">
        <v>265</v>
      </c>
      <c r="H106">
        <v>91</v>
      </c>
      <c r="I106">
        <v>52090</v>
      </c>
      <c r="J106">
        <v>28924</v>
      </c>
      <c r="K106">
        <v>133</v>
      </c>
      <c r="L106" s="4" t="s">
        <v>37</v>
      </c>
      <c r="M106" s="4"/>
      <c r="N106" s="4" t="s">
        <v>16</v>
      </c>
      <c r="O106" s="33">
        <f t="shared" si="1"/>
        <v>6.2084853138798232E-2</v>
      </c>
      <c r="P106" s="92">
        <f>(_xlfn.XLOOKUP(Table1__3[[#This Row],[Campaign_Name]],Table3[Campaign_Name],Table3[Start_Date]))</f>
        <v>45667</v>
      </c>
      <c r="Q106" s="92">
        <f>(_xlfn.XLOOKUP(Table1__3[[#This Row],[Campaign_Name]],Table3[Campaign_Name],Table3[End_Date]))</f>
        <v>45698</v>
      </c>
      <c r="R106" s="4" t="str">
        <f>IF(Table1__3[[#This Row],[Date]] &lt; Table1__3[[#This Row],[Start_Date]], "Before",
   IF(AND(Table1__3[[#This Row],[Date]] &gt;= Table1__3[[#This Row],[Start_Date]], Table1__3[[#This Row],[Date]] &lt;= Table1__3[[#This Row],[End_Date]]), "During",
   "After"))</f>
        <v>Before</v>
      </c>
      <c r="S106" s="31"/>
      <c r="T106" s="31"/>
    </row>
    <row r="107" spans="1:20">
      <c r="A107" s="4" t="s">
        <v>140</v>
      </c>
      <c r="B107" s="4" t="s">
        <v>22</v>
      </c>
      <c r="C107" s="92">
        <v>45677</v>
      </c>
      <c r="D107" s="4" t="s">
        <v>23</v>
      </c>
      <c r="E107" s="4" t="s">
        <v>24</v>
      </c>
      <c r="F107">
        <v>4619</v>
      </c>
      <c r="G107">
        <v>272</v>
      </c>
      <c r="H107">
        <v>57</v>
      </c>
      <c r="I107">
        <v>21334</v>
      </c>
      <c r="J107">
        <v>46292</v>
      </c>
      <c r="K107">
        <v>91</v>
      </c>
      <c r="L107" s="4" t="s">
        <v>40</v>
      </c>
      <c r="M107" s="4" t="s">
        <v>37</v>
      </c>
      <c r="N107" s="4" t="s">
        <v>16</v>
      </c>
      <c r="O107" s="33">
        <f t="shared" si="1"/>
        <v>0.23193025217961938</v>
      </c>
      <c r="P107" s="92">
        <f>(_xlfn.XLOOKUP(Table1__3[[#This Row],[Campaign_Name]],Table3[Campaign_Name],Table3[Start_Date]))</f>
        <v>45667</v>
      </c>
      <c r="Q107" s="92">
        <f>(_xlfn.XLOOKUP(Table1__3[[#This Row],[Campaign_Name]],Table3[Campaign_Name],Table3[End_Date]))</f>
        <v>45698</v>
      </c>
      <c r="R107" s="4" t="str">
        <f>IF(Table1__3[[#This Row],[Date]] &lt; Table1__3[[#This Row],[Start_Date]], "Before",
   IF(AND(Table1__3[[#This Row],[Date]] &gt;= Table1__3[[#This Row],[Start_Date]], Table1__3[[#This Row],[Date]] &lt;= Table1__3[[#This Row],[End_Date]]), "During",
   "After"))</f>
        <v>During</v>
      </c>
      <c r="S107" s="31"/>
      <c r="T107" s="31"/>
    </row>
    <row r="108" spans="1:20">
      <c r="A108" s="4" t="s">
        <v>141</v>
      </c>
      <c r="B108" s="4" t="s">
        <v>22</v>
      </c>
      <c r="C108" s="92">
        <v>45670</v>
      </c>
      <c r="D108" s="4" t="s">
        <v>14</v>
      </c>
      <c r="E108" s="4" t="s">
        <v>29</v>
      </c>
      <c r="F108">
        <v>4090</v>
      </c>
      <c r="G108">
        <v>209</v>
      </c>
      <c r="H108">
        <v>278</v>
      </c>
      <c r="I108">
        <v>52853</v>
      </c>
      <c r="J108">
        <v>57084</v>
      </c>
      <c r="K108">
        <v>102</v>
      </c>
      <c r="L108" s="4" t="s">
        <v>40</v>
      </c>
      <c r="M108" s="4"/>
      <c r="N108" s="4" t="s">
        <v>20</v>
      </c>
      <c r="O108" s="33">
        <f t="shared" si="1"/>
        <v>8.6598679355949518E-2</v>
      </c>
      <c r="P108" s="92">
        <f>(_xlfn.XLOOKUP(Table1__3[[#This Row],[Campaign_Name]],Table3[Campaign_Name],Table3[Start_Date]))</f>
        <v>45717</v>
      </c>
      <c r="Q108" s="92">
        <f>(_xlfn.XLOOKUP(Table1__3[[#This Row],[Campaign_Name]],Table3[Campaign_Name],Table3[End_Date]))</f>
        <v>45747</v>
      </c>
      <c r="R108" s="4" t="str">
        <f>IF(Table1__3[[#This Row],[Date]] &lt; Table1__3[[#This Row],[Start_Date]], "Before",
   IF(AND(Table1__3[[#This Row],[Date]] &gt;= Table1__3[[#This Row],[Start_Date]], Table1__3[[#This Row],[Date]] &lt;= Table1__3[[#This Row],[End_Date]]), "During",
   "After"))</f>
        <v>Before</v>
      </c>
      <c r="S108" s="31"/>
      <c r="T108" s="31"/>
    </row>
    <row r="109" spans="1:20">
      <c r="A109" s="4" t="s">
        <v>142</v>
      </c>
      <c r="B109" s="4" t="s">
        <v>28</v>
      </c>
      <c r="C109" s="92">
        <v>45542</v>
      </c>
      <c r="D109" s="4" t="s">
        <v>52</v>
      </c>
      <c r="E109" s="4" t="s">
        <v>29</v>
      </c>
      <c r="F109">
        <v>3882</v>
      </c>
      <c r="G109">
        <v>342</v>
      </c>
      <c r="H109">
        <v>374</v>
      </c>
      <c r="I109">
        <v>41991</v>
      </c>
      <c r="J109">
        <v>48554</v>
      </c>
      <c r="K109">
        <v>118</v>
      </c>
      <c r="L109" s="4" t="s">
        <v>19</v>
      </c>
      <c r="M109" s="4" t="s">
        <v>40</v>
      </c>
      <c r="N109" s="4" t="s">
        <v>53</v>
      </c>
      <c r="O109" s="33">
        <f t="shared" si="1"/>
        <v>0.10949965468790931</v>
      </c>
      <c r="P109" s="92">
        <f>(_xlfn.XLOOKUP(Table1__3[[#This Row],[Campaign_Name]],Table3[Campaign_Name],Table3[Start_Date]))</f>
        <v>45458</v>
      </c>
      <c r="Q109" s="92">
        <f>(_xlfn.XLOOKUP(Table1__3[[#This Row],[Campaign_Name]],Table3[Campaign_Name],Table3[End_Date]))</f>
        <v>45488</v>
      </c>
      <c r="R109" s="4" t="str">
        <f>IF(Table1__3[[#This Row],[Date]] &lt; Table1__3[[#This Row],[Start_Date]], "Before",
   IF(AND(Table1__3[[#This Row],[Date]] &gt;= Table1__3[[#This Row],[Start_Date]], Table1__3[[#This Row],[Date]] &lt;= Table1__3[[#This Row],[End_Date]]), "During",
   "After"))</f>
        <v>After</v>
      </c>
      <c r="S109" s="31"/>
      <c r="T109" s="31"/>
    </row>
    <row r="110" spans="1:20">
      <c r="A110" s="4" t="s">
        <v>143</v>
      </c>
      <c r="B110" s="4" t="s">
        <v>13</v>
      </c>
      <c r="C110" s="92">
        <v>45617</v>
      </c>
      <c r="D110" s="4" t="s">
        <v>14</v>
      </c>
      <c r="E110" s="4" t="s">
        <v>29</v>
      </c>
      <c r="F110">
        <v>4581</v>
      </c>
      <c r="G110">
        <v>181</v>
      </c>
      <c r="H110">
        <v>112</v>
      </c>
      <c r="I110">
        <v>35221</v>
      </c>
      <c r="J110">
        <v>28797</v>
      </c>
      <c r="K110">
        <v>164</v>
      </c>
      <c r="L110" s="4" t="s">
        <v>40</v>
      </c>
      <c r="M110" s="4" t="s">
        <v>37</v>
      </c>
      <c r="N110" s="4" t="s">
        <v>16</v>
      </c>
      <c r="O110" s="33">
        <f t="shared" si="1"/>
        <v>0.13838335084182732</v>
      </c>
      <c r="P110" s="92">
        <f>(_xlfn.XLOOKUP(Table1__3[[#This Row],[Campaign_Name]],Table3[Campaign_Name],Table3[Start_Date]))</f>
        <v>45667</v>
      </c>
      <c r="Q110" s="92">
        <f>(_xlfn.XLOOKUP(Table1__3[[#This Row],[Campaign_Name]],Table3[Campaign_Name],Table3[End_Date]))</f>
        <v>45698</v>
      </c>
      <c r="R110" s="4" t="str">
        <f>IF(Table1__3[[#This Row],[Date]] &lt; Table1__3[[#This Row],[Start_Date]], "Before",
   IF(AND(Table1__3[[#This Row],[Date]] &gt;= Table1__3[[#This Row],[Start_Date]], Table1__3[[#This Row],[Date]] &lt;= Table1__3[[#This Row],[End_Date]]), "During",
   "After"))</f>
        <v>Before</v>
      </c>
      <c r="S110" s="31"/>
      <c r="T110" s="31"/>
    </row>
    <row r="111" spans="1:20">
      <c r="A111" s="4" t="s">
        <v>144</v>
      </c>
      <c r="B111" s="4" t="s">
        <v>13</v>
      </c>
      <c r="C111" s="92">
        <v>45469</v>
      </c>
      <c r="D111" s="4" t="s">
        <v>14</v>
      </c>
      <c r="E111" s="4" t="s">
        <v>24</v>
      </c>
      <c r="F111">
        <v>3253</v>
      </c>
      <c r="G111">
        <v>483</v>
      </c>
      <c r="H111">
        <v>336</v>
      </c>
      <c r="I111">
        <v>25397</v>
      </c>
      <c r="J111">
        <v>51485</v>
      </c>
      <c r="K111">
        <v>131</v>
      </c>
      <c r="L111" s="4" t="s">
        <v>19</v>
      </c>
      <c r="M111" s="4"/>
      <c r="N111" s="4" t="s">
        <v>20</v>
      </c>
      <c r="O111" s="33">
        <f t="shared" si="1"/>
        <v>0.16033389770445328</v>
      </c>
      <c r="P111" s="92">
        <f>(_xlfn.XLOOKUP(Table1__3[[#This Row],[Campaign_Name]],Table3[Campaign_Name],Table3[Start_Date]))</f>
        <v>45717</v>
      </c>
      <c r="Q111" s="92">
        <f>(_xlfn.XLOOKUP(Table1__3[[#This Row],[Campaign_Name]],Table3[Campaign_Name],Table3[End_Date]))</f>
        <v>45747</v>
      </c>
      <c r="R111" s="4" t="str">
        <f>IF(Table1__3[[#This Row],[Date]] &lt; Table1__3[[#This Row],[Start_Date]], "Before",
   IF(AND(Table1__3[[#This Row],[Date]] &gt;= Table1__3[[#This Row],[Start_Date]], Table1__3[[#This Row],[Date]] &lt;= Table1__3[[#This Row],[End_Date]]), "During",
   "After"))</f>
        <v>Before</v>
      </c>
      <c r="S111" s="31"/>
      <c r="T111" s="31"/>
    </row>
    <row r="112" spans="1:20">
      <c r="A112" s="4" t="s">
        <v>145</v>
      </c>
      <c r="B112" s="4" t="s">
        <v>28</v>
      </c>
      <c r="C112" s="92">
        <v>45493</v>
      </c>
      <c r="D112" s="4" t="s">
        <v>52</v>
      </c>
      <c r="E112" s="4" t="s">
        <v>29</v>
      </c>
      <c r="F112">
        <v>4955</v>
      </c>
      <c r="G112">
        <v>299</v>
      </c>
      <c r="H112">
        <v>345</v>
      </c>
      <c r="I112">
        <v>33644</v>
      </c>
      <c r="J112">
        <v>43547</v>
      </c>
      <c r="K112">
        <v>194</v>
      </c>
      <c r="L112" s="4" t="s">
        <v>19</v>
      </c>
      <c r="M112" s="4" t="s">
        <v>40</v>
      </c>
      <c r="N112" s="4" t="s">
        <v>53</v>
      </c>
      <c r="O112" s="33">
        <f t="shared" si="1"/>
        <v>0.16641897515158721</v>
      </c>
      <c r="P112" s="92">
        <f>(_xlfn.XLOOKUP(Table1__3[[#This Row],[Campaign_Name]],Table3[Campaign_Name],Table3[Start_Date]))</f>
        <v>45458</v>
      </c>
      <c r="Q112" s="92">
        <f>(_xlfn.XLOOKUP(Table1__3[[#This Row],[Campaign_Name]],Table3[Campaign_Name],Table3[End_Date]))</f>
        <v>45488</v>
      </c>
      <c r="R112" s="4" t="str">
        <f>IF(Table1__3[[#This Row],[Date]] &lt; Table1__3[[#This Row],[Start_Date]], "Before",
   IF(AND(Table1__3[[#This Row],[Date]] &gt;= Table1__3[[#This Row],[Start_Date]], Table1__3[[#This Row],[Date]] &lt;= Table1__3[[#This Row],[End_Date]]), "During",
   "After"))</f>
        <v>After</v>
      </c>
      <c r="S112" s="31"/>
      <c r="T112" s="31"/>
    </row>
    <row r="113" spans="1:20">
      <c r="A113" s="4" t="s">
        <v>146</v>
      </c>
      <c r="B113" s="4" t="s">
        <v>13</v>
      </c>
      <c r="C113" s="92">
        <v>45704</v>
      </c>
      <c r="D113" s="4" t="s">
        <v>14</v>
      </c>
      <c r="E113" s="4" t="s">
        <v>46</v>
      </c>
      <c r="F113">
        <v>1333</v>
      </c>
      <c r="G113">
        <v>286</v>
      </c>
      <c r="H113">
        <v>298</v>
      </c>
      <c r="I113">
        <v>36174</v>
      </c>
      <c r="J113">
        <v>34517</v>
      </c>
      <c r="K113">
        <v>170</v>
      </c>
      <c r="L113" s="4" t="s">
        <v>40</v>
      </c>
      <c r="M113" s="4" t="s">
        <v>37</v>
      </c>
      <c r="N113" s="4" t="s">
        <v>16</v>
      </c>
      <c r="O113" s="33">
        <f t="shared" si="1"/>
        <v>5.2993862995521647E-2</v>
      </c>
      <c r="P113" s="92">
        <f>(_xlfn.XLOOKUP(Table1__3[[#This Row],[Campaign_Name]],Table3[Campaign_Name],Table3[Start_Date]))</f>
        <v>45667</v>
      </c>
      <c r="Q113" s="92">
        <f>(_xlfn.XLOOKUP(Table1__3[[#This Row],[Campaign_Name]],Table3[Campaign_Name],Table3[End_Date]))</f>
        <v>45698</v>
      </c>
      <c r="R113" s="4" t="str">
        <f>IF(Table1__3[[#This Row],[Date]] &lt; Table1__3[[#This Row],[Start_Date]], "Before",
   IF(AND(Table1__3[[#This Row],[Date]] &gt;= Table1__3[[#This Row],[Start_Date]], Table1__3[[#This Row],[Date]] &lt;= Table1__3[[#This Row],[End_Date]]), "During",
   "After"))</f>
        <v>After</v>
      </c>
      <c r="S113" s="31"/>
      <c r="T113" s="31"/>
    </row>
    <row r="114" spans="1:20">
      <c r="A114" s="4" t="s">
        <v>147</v>
      </c>
      <c r="B114" s="4" t="s">
        <v>13</v>
      </c>
      <c r="C114" s="92">
        <v>45544</v>
      </c>
      <c r="D114" s="4" t="s">
        <v>14</v>
      </c>
      <c r="E114" s="4" t="s">
        <v>24</v>
      </c>
      <c r="F114">
        <v>1616</v>
      </c>
      <c r="G114">
        <v>360</v>
      </c>
      <c r="H114">
        <v>180</v>
      </c>
      <c r="I114">
        <v>54342</v>
      </c>
      <c r="J114">
        <v>18796</v>
      </c>
      <c r="K114">
        <v>282</v>
      </c>
      <c r="L114" s="4" t="s">
        <v>40</v>
      </c>
      <c r="M114" s="4" t="s">
        <v>37</v>
      </c>
      <c r="N114" s="4" t="s">
        <v>16</v>
      </c>
      <c r="O114" s="33">
        <f t="shared" si="1"/>
        <v>3.9674653122814763E-2</v>
      </c>
      <c r="P114" s="92">
        <f>(_xlfn.XLOOKUP(Table1__3[[#This Row],[Campaign_Name]],Table3[Campaign_Name],Table3[Start_Date]))</f>
        <v>45667</v>
      </c>
      <c r="Q114" s="92">
        <f>(_xlfn.XLOOKUP(Table1__3[[#This Row],[Campaign_Name]],Table3[Campaign_Name],Table3[End_Date]))</f>
        <v>45698</v>
      </c>
      <c r="R114" s="4" t="str">
        <f>IF(Table1__3[[#This Row],[Date]] &lt; Table1__3[[#This Row],[Start_Date]], "Before",
   IF(AND(Table1__3[[#This Row],[Date]] &gt;= Table1__3[[#This Row],[Start_Date]], Table1__3[[#This Row],[Date]] &lt;= Table1__3[[#This Row],[End_Date]]), "During",
   "After"))</f>
        <v>Before</v>
      </c>
      <c r="S114" s="31"/>
      <c r="T114" s="31"/>
    </row>
    <row r="115" spans="1:20">
      <c r="A115" s="4" t="s">
        <v>148</v>
      </c>
      <c r="B115" s="4" t="s">
        <v>22</v>
      </c>
      <c r="C115" s="92">
        <v>45489</v>
      </c>
      <c r="D115" s="4" t="s">
        <v>14</v>
      </c>
      <c r="E115" s="4" t="s">
        <v>36</v>
      </c>
      <c r="F115">
        <v>1803</v>
      </c>
      <c r="G115">
        <v>273</v>
      </c>
      <c r="H115">
        <v>287</v>
      </c>
      <c r="I115">
        <v>46176</v>
      </c>
      <c r="J115">
        <v>25488</v>
      </c>
      <c r="K115">
        <v>141</v>
      </c>
      <c r="L115" s="4" t="s">
        <v>37</v>
      </c>
      <c r="M115" s="4"/>
      <c r="N115" s="4" t="s">
        <v>16</v>
      </c>
      <c r="O115" s="33">
        <f t="shared" si="1"/>
        <v>5.1173769923769923E-2</v>
      </c>
      <c r="P115" s="92">
        <f>(_xlfn.XLOOKUP(Table1__3[[#This Row],[Campaign_Name]],Table3[Campaign_Name],Table3[Start_Date]))</f>
        <v>45667</v>
      </c>
      <c r="Q115" s="92">
        <f>(_xlfn.XLOOKUP(Table1__3[[#This Row],[Campaign_Name]],Table3[Campaign_Name],Table3[End_Date]))</f>
        <v>45698</v>
      </c>
      <c r="R115" s="4" t="str">
        <f>IF(Table1__3[[#This Row],[Date]] &lt; Table1__3[[#This Row],[Start_Date]], "Before",
   IF(AND(Table1__3[[#This Row],[Date]] &gt;= Table1__3[[#This Row],[Start_Date]], Table1__3[[#This Row],[Date]] &lt;= Table1__3[[#This Row],[End_Date]]), "During",
   "After"))</f>
        <v>Before</v>
      </c>
      <c r="S115" s="31"/>
      <c r="T115" s="31"/>
    </row>
    <row r="116" spans="1:20">
      <c r="A116" s="4" t="s">
        <v>149</v>
      </c>
      <c r="B116" s="4" t="s">
        <v>13</v>
      </c>
      <c r="C116" s="92">
        <v>45762</v>
      </c>
      <c r="D116" s="4" t="s">
        <v>14</v>
      </c>
      <c r="E116" s="4" t="s">
        <v>18</v>
      </c>
      <c r="F116">
        <v>4177</v>
      </c>
      <c r="G116">
        <v>489</v>
      </c>
      <c r="H116">
        <v>331</v>
      </c>
      <c r="I116">
        <v>57451</v>
      </c>
      <c r="J116">
        <v>73793</v>
      </c>
      <c r="K116">
        <v>251</v>
      </c>
      <c r="L116" s="4" t="s">
        <v>19</v>
      </c>
      <c r="M116" s="4"/>
      <c r="N116" s="4" t="s">
        <v>20</v>
      </c>
      <c r="O116" s="33">
        <f t="shared" si="1"/>
        <v>8.6978468608031198E-2</v>
      </c>
      <c r="P116" s="92">
        <f>(_xlfn.XLOOKUP(Table1__3[[#This Row],[Campaign_Name]],Table3[Campaign_Name],Table3[Start_Date]))</f>
        <v>45717</v>
      </c>
      <c r="Q116" s="92">
        <f>(_xlfn.XLOOKUP(Table1__3[[#This Row],[Campaign_Name]],Table3[Campaign_Name],Table3[End_Date]))</f>
        <v>45747</v>
      </c>
      <c r="R116" s="4" t="str">
        <f>IF(Table1__3[[#This Row],[Date]] &lt; Table1__3[[#This Row],[Start_Date]], "Before",
   IF(AND(Table1__3[[#This Row],[Date]] &gt;= Table1__3[[#This Row],[Start_Date]], Table1__3[[#This Row],[Date]] &lt;= Table1__3[[#This Row],[End_Date]]), "During",
   "After"))</f>
        <v>After</v>
      </c>
      <c r="S116" s="31"/>
      <c r="T116" s="31"/>
    </row>
    <row r="117" spans="1:20">
      <c r="A117" s="4" t="s">
        <v>150</v>
      </c>
      <c r="B117" s="4" t="s">
        <v>13</v>
      </c>
      <c r="C117" s="92">
        <v>45781</v>
      </c>
      <c r="D117" s="4" t="s">
        <v>23</v>
      </c>
      <c r="E117" s="4" t="s">
        <v>24</v>
      </c>
      <c r="F117">
        <v>1311</v>
      </c>
      <c r="G117">
        <v>181</v>
      </c>
      <c r="H117">
        <v>361</v>
      </c>
      <c r="I117">
        <v>37148</v>
      </c>
      <c r="J117">
        <v>44875</v>
      </c>
      <c r="K117">
        <v>245</v>
      </c>
      <c r="L117" s="4" t="s">
        <v>37</v>
      </c>
      <c r="M117" s="4"/>
      <c r="N117" s="4" t="s">
        <v>50</v>
      </c>
      <c r="O117" s="33">
        <f t="shared" si="1"/>
        <v>4.9881554861634543E-2</v>
      </c>
      <c r="P117" s="92">
        <f>(_xlfn.XLOOKUP(Table1__3[[#This Row],[Campaign_Name]],Table3[Campaign_Name],Table3[Start_Date]))</f>
        <v>45627</v>
      </c>
      <c r="Q117" s="92">
        <f>(_xlfn.XLOOKUP(Table1__3[[#This Row],[Campaign_Name]],Table3[Campaign_Name],Table3[End_Date]))</f>
        <v>45657</v>
      </c>
      <c r="R117" s="4" t="str">
        <f>IF(Table1__3[[#This Row],[Date]] &lt; Table1__3[[#This Row],[Start_Date]], "Before",
   IF(AND(Table1__3[[#This Row],[Date]] &gt;= Table1__3[[#This Row],[Start_Date]], Table1__3[[#This Row],[Date]] &lt;= Table1__3[[#This Row],[End_Date]]), "During",
   "After"))</f>
        <v>After</v>
      </c>
      <c r="S117" s="31"/>
      <c r="T117" s="31"/>
    </row>
    <row r="118" spans="1:20">
      <c r="A118" s="4" t="s">
        <v>151</v>
      </c>
      <c r="B118" s="4" t="s">
        <v>13</v>
      </c>
      <c r="C118" s="92">
        <v>45340</v>
      </c>
      <c r="D118" s="4" t="s">
        <v>23</v>
      </c>
      <c r="E118" s="4" t="s">
        <v>44</v>
      </c>
      <c r="F118">
        <v>1516</v>
      </c>
      <c r="G118">
        <v>215</v>
      </c>
      <c r="H118">
        <v>332</v>
      </c>
      <c r="I118">
        <v>58981</v>
      </c>
      <c r="J118">
        <v>36118</v>
      </c>
      <c r="K118">
        <v>211</v>
      </c>
      <c r="L118" s="4" t="s">
        <v>37</v>
      </c>
      <c r="M118" s="4"/>
      <c r="N118" s="4" t="s">
        <v>50</v>
      </c>
      <c r="O118" s="33">
        <f t="shared" si="1"/>
        <v>3.4977365592309385E-2</v>
      </c>
      <c r="P118" s="92">
        <f>(_xlfn.XLOOKUP(Table1__3[[#This Row],[Campaign_Name]],Table3[Campaign_Name],Table3[Start_Date]))</f>
        <v>45627</v>
      </c>
      <c r="Q118" s="92">
        <f>(_xlfn.XLOOKUP(Table1__3[[#This Row],[Campaign_Name]],Table3[Campaign_Name],Table3[End_Date]))</f>
        <v>45657</v>
      </c>
      <c r="R118" s="4" t="str">
        <f>IF(Table1__3[[#This Row],[Date]] &lt; Table1__3[[#This Row],[Start_Date]], "Before",
   IF(AND(Table1__3[[#This Row],[Date]] &gt;= Table1__3[[#This Row],[Start_Date]], Table1__3[[#This Row],[Date]] &lt;= Table1__3[[#This Row],[End_Date]]), "During",
   "After"))</f>
        <v>Before</v>
      </c>
      <c r="S118" s="31"/>
      <c r="T118" s="31"/>
    </row>
    <row r="119" spans="1:20">
      <c r="A119" s="4" t="s">
        <v>152</v>
      </c>
      <c r="B119" s="4" t="s">
        <v>22</v>
      </c>
      <c r="C119" s="92">
        <v>45428</v>
      </c>
      <c r="D119" s="4" t="s">
        <v>23</v>
      </c>
      <c r="E119" s="4" t="s">
        <v>29</v>
      </c>
      <c r="F119">
        <v>2023</v>
      </c>
      <c r="G119">
        <v>124</v>
      </c>
      <c r="H119">
        <v>99</v>
      </c>
      <c r="I119">
        <v>54524</v>
      </c>
      <c r="J119">
        <v>34790</v>
      </c>
      <c r="K119">
        <v>195</v>
      </c>
      <c r="L119" s="4" t="s">
        <v>19</v>
      </c>
      <c r="M119" s="4" t="s">
        <v>363</v>
      </c>
      <c r="N119" s="4" t="s">
        <v>16</v>
      </c>
      <c r="O119" s="33">
        <f t="shared" si="1"/>
        <v>4.1192869195216787E-2</v>
      </c>
      <c r="P119" s="92">
        <f>(_xlfn.XLOOKUP(Table1__3[[#This Row],[Campaign_Name]],Table3[Campaign_Name],Table3[Start_Date]))</f>
        <v>45667</v>
      </c>
      <c r="Q119" s="92">
        <f>(_xlfn.XLOOKUP(Table1__3[[#This Row],[Campaign_Name]],Table3[Campaign_Name],Table3[End_Date]))</f>
        <v>45698</v>
      </c>
      <c r="R119" s="4" t="str">
        <f>IF(Table1__3[[#This Row],[Date]] &lt; Table1__3[[#This Row],[Start_Date]], "Before",
   IF(AND(Table1__3[[#This Row],[Date]] &gt;= Table1__3[[#This Row],[Start_Date]], Table1__3[[#This Row],[Date]] &lt;= Table1__3[[#This Row],[End_Date]]), "During",
   "After"))</f>
        <v>Before</v>
      </c>
      <c r="S119" s="31"/>
      <c r="T119" s="31"/>
    </row>
    <row r="120" spans="1:20">
      <c r="A120" s="4" t="s">
        <v>153</v>
      </c>
      <c r="B120" s="4" t="s">
        <v>22</v>
      </c>
      <c r="C120" s="92">
        <v>45806</v>
      </c>
      <c r="D120" s="4" t="s">
        <v>23</v>
      </c>
      <c r="E120" s="4" t="s">
        <v>29</v>
      </c>
      <c r="F120">
        <v>2134</v>
      </c>
      <c r="G120">
        <v>322</v>
      </c>
      <c r="H120">
        <v>114</v>
      </c>
      <c r="I120">
        <v>44338</v>
      </c>
      <c r="J120">
        <v>52165</v>
      </c>
      <c r="K120">
        <v>176</v>
      </c>
      <c r="L120" s="4" t="s">
        <v>363</v>
      </c>
      <c r="M120" s="4" t="s">
        <v>37</v>
      </c>
      <c r="N120" s="4" t="s">
        <v>16</v>
      </c>
      <c r="O120" s="33">
        <f t="shared" si="1"/>
        <v>5.7963823356939871E-2</v>
      </c>
      <c r="P120" s="92">
        <f>(_xlfn.XLOOKUP(Table1__3[[#This Row],[Campaign_Name]],Table3[Campaign_Name],Table3[Start_Date]))</f>
        <v>45667</v>
      </c>
      <c r="Q120" s="92">
        <f>(_xlfn.XLOOKUP(Table1__3[[#This Row],[Campaign_Name]],Table3[Campaign_Name],Table3[End_Date]))</f>
        <v>45698</v>
      </c>
      <c r="R120" s="4" t="str">
        <f>IF(Table1__3[[#This Row],[Date]] &lt; Table1__3[[#This Row],[Start_Date]], "Before",
   IF(AND(Table1__3[[#This Row],[Date]] &gt;= Table1__3[[#This Row],[Start_Date]], Table1__3[[#This Row],[Date]] &lt;= Table1__3[[#This Row],[End_Date]]), "During",
   "After"))</f>
        <v>After</v>
      </c>
      <c r="S120" s="31"/>
      <c r="T120" s="31"/>
    </row>
    <row r="121" spans="1:20">
      <c r="A121" s="4" t="s">
        <v>154</v>
      </c>
      <c r="B121" s="4" t="s">
        <v>13</v>
      </c>
      <c r="C121" s="92">
        <v>45674</v>
      </c>
      <c r="D121" s="4" t="s">
        <v>14</v>
      </c>
      <c r="E121" s="4" t="s">
        <v>36</v>
      </c>
      <c r="F121">
        <v>2266</v>
      </c>
      <c r="G121">
        <v>126</v>
      </c>
      <c r="H121">
        <v>140</v>
      </c>
      <c r="I121">
        <v>53759</v>
      </c>
      <c r="J121">
        <v>46834</v>
      </c>
      <c r="K121">
        <v>277</v>
      </c>
      <c r="L121" s="4" t="s">
        <v>19</v>
      </c>
      <c r="M121" s="4"/>
      <c r="N121" s="4" t="s">
        <v>20</v>
      </c>
      <c r="O121" s="33">
        <f t="shared" si="1"/>
        <v>4.7099090384865788E-2</v>
      </c>
      <c r="P121" s="92">
        <f>(_xlfn.XLOOKUP(Table1__3[[#This Row],[Campaign_Name]],Table3[Campaign_Name],Table3[Start_Date]))</f>
        <v>45717</v>
      </c>
      <c r="Q121" s="92">
        <f>(_xlfn.XLOOKUP(Table1__3[[#This Row],[Campaign_Name]],Table3[Campaign_Name],Table3[End_Date]))</f>
        <v>45747</v>
      </c>
      <c r="R121" s="4" t="str">
        <f>IF(Table1__3[[#This Row],[Date]] &lt; Table1__3[[#This Row],[Start_Date]], "Before",
   IF(AND(Table1__3[[#This Row],[Date]] &gt;= Table1__3[[#This Row],[Start_Date]], Table1__3[[#This Row],[Date]] &lt;= Table1__3[[#This Row],[End_Date]]), "During",
   "After"))</f>
        <v>Before</v>
      </c>
      <c r="S121" s="31"/>
      <c r="T121" s="31"/>
    </row>
    <row r="122" spans="1:20">
      <c r="A122" s="4" t="s">
        <v>155</v>
      </c>
      <c r="B122" s="4" t="s">
        <v>13</v>
      </c>
      <c r="C122" s="92">
        <v>45777</v>
      </c>
      <c r="D122" s="4" t="s">
        <v>23</v>
      </c>
      <c r="E122" s="4" t="s">
        <v>24</v>
      </c>
      <c r="F122">
        <v>3916</v>
      </c>
      <c r="G122">
        <v>459</v>
      </c>
      <c r="H122">
        <v>229</v>
      </c>
      <c r="I122">
        <v>48989</v>
      </c>
      <c r="J122">
        <v>39768</v>
      </c>
      <c r="K122">
        <v>200</v>
      </c>
      <c r="L122" s="4" t="s">
        <v>37</v>
      </c>
      <c r="M122" s="4"/>
      <c r="N122" s="4" t="s">
        <v>50</v>
      </c>
      <c r="O122" s="33">
        <f t="shared" si="1"/>
        <v>9.3980281287635997E-2</v>
      </c>
      <c r="P122" s="92">
        <f>(_xlfn.XLOOKUP(Table1__3[[#This Row],[Campaign_Name]],Table3[Campaign_Name],Table3[Start_Date]))</f>
        <v>45627</v>
      </c>
      <c r="Q122" s="92">
        <f>(_xlfn.XLOOKUP(Table1__3[[#This Row],[Campaign_Name]],Table3[Campaign_Name],Table3[End_Date]))</f>
        <v>45657</v>
      </c>
      <c r="R122" s="4" t="str">
        <f>IF(Table1__3[[#This Row],[Date]] &lt; Table1__3[[#This Row],[Start_Date]], "Before",
   IF(AND(Table1__3[[#This Row],[Date]] &gt;= Table1__3[[#This Row],[Start_Date]], Table1__3[[#This Row],[Date]] &lt;= Table1__3[[#This Row],[End_Date]]), "During",
   "After"))</f>
        <v>After</v>
      </c>
      <c r="S122" s="31"/>
      <c r="T122" s="31"/>
    </row>
    <row r="123" spans="1:20">
      <c r="A123" s="4" t="s">
        <v>156</v>
      </c>
      <c r="B123" s="4" t="s">
        <v>22</v>
      </c>
      <c r="C123" s="92">
        <v>45346</v>
      </c>
      <c r="D123" s="4" t="s">
        <v>23</v>
      </c>
      <c r="E123" s="4" t="s">
        <v>29</v>
      </c>
      <c r="F123">
        <v>1022</v>
      </c>
      <c r="G123">
        <v>463</v>
      </c>
      <c r="H123">
        <v>360</v>
      </c>
      <c r="I123">
        <v>51468</v>
      </c>
      <c r="J123">
        <v>24279</v>
      </c>
      <c r="K123">
        <v>230</v>
      </c>
      <c r="L123" s="4" t="s">
        <v>19</v>
      </c>
      <c r="M123" s="4" t="s">
        <v>363</v>
      </c>
      <c r="N123" s="4" t="s">
        <v>16</v>
      </c>
      <c r="O123" s="33">
        <f t="shared" si="1"/>
        <v>3.5847516903707161E-2</v>
      </c>
      <c r="P123" s="92">
        <f>(_xlfn.XLOOKUP(Table1__3[[#This Row],[Campaign_Name]],Table3[Campaign_Name],Table3[Start_Date]))</f>
        <v>45667</v>
      </c>
      <c r="Q123" s="92">
        <f>(_xlfn.XLOOKUP(Table1__3[[#This Row],[Campaign_Name]],Table3[Campaign_Name],Table3[End_Date]))</f>
        <v>45698</v>
      </c>
      <c r="R123" s="4" t="str">
        <f>IF(Table1__3[[#This Row],[Date]] &lt; Table1__3[[#This Row],[Start_Date]], "Before",
   IF(AND(Table1__3[[#This Row],[Date]] &gt;= Table1__3[[#This Row],[Start_Date]], Table1__3[[#This Row],[Date]] &lt;= Table1__3[[#This Row],[End_Date]]), "During",
   "After"))</f>
        <v>Before</v>
      </c>
      <c r="S123" s="31"/>
      <c r="T123" s="31"/>
    </row>
    <row r="124" spans="1:20">
      <c r="A124" s="4" t="s">
        <v>157</v>
      </c>
      <c r="B124" s="4" t="s">
        <v>28</v>
      </c>
      <c r="C124" s="92">
        <v>45424</v>
      </c>
      <c r="D124" s="4" t="s">
        <v>14</v>
      </c>
      <c r="E124" s="4" t="s">
        <v>44</v>
      </c>
      <c r="F124">
        <v>2911</v>
      </c>
      <c r="G124">
        <v>467</v>
      </c>
      <c r="H124">
        <v>94</v>
      </c>
      <c r="I124">
        <v>59083</v>
      </c>
      <c r="J124">
        <v>49762</v>
      </c>
      <c r="K124">
        <v>236</v>
      </c>
      <c r="L124" s="4" t="s">
        <v>19</v>
      </c>
      <c r="M124" s="4" t="s">
        <v>364</v>
      </c>
      <c r="N124" s="4" t="s">
        <v>20</v>
      </c>
      <c r="O124" s="33">
        <f t="shared" si="1"/>
        <v>5.8764788517847777E-2</v>
      </c>
      <c r="P124" s="92">
        <f>(_xlfn.XLOOKUP(Table1__3[[#This Row],[Campaign_Name]],Table3[Campaign_Name],Table3[Start_Date]))</f>
        <v>45717</v>
      </c>
      <c r="Q124" s="92">
        <f>(_xlfn.XLOOKUP(Table1__3[[#This Row],[Campaign_Name]],Table3[Campaign_Name],Table3[End_Date]))</f>
        <v>45747</v>
      </c>
      <c r="R124" s="4" t="str">
        <f>IF(Table1__3[[#This Row],[Date]] &lt; Table1__3[[#This Row],[Start_Date]], "Before",
   IF(AND(Table1__3[[#This Row],[Date]] &gt;= Table1__3[[#This Row],[Start_Date]], Table1__3[[#This Row],[Date]] &lt;= Table1__3[[#This Row],[End_Date]]), "During",
   "After"))</f>
        <v>Before</v>
      </c>
      <c r="S124" s="31"/>
      <c r="T124" s="31"/>
    </row>
    <row r="125" spans="1:20">
      <c r="A125" s="4" t="s">
        <v>158</v>
      </c>
      <c r="B125" s="4" t="s">
        <v>22</v>
      </c>
      <c r="C125" s="92">
        <v>45421</v>
      </c>
      <c r="D125" s="4" t="s">
        <v>23</v>
      </c>
      <c r="E125" s="4" t="s">
        <v>24</v>
      </c>
      <c r="F125">
        <v>3277</v>
      </c>
      <c r="G125">
        <v>423</v>
      </c>
      <c r="H125">
        <v>259</v>
      </c>
      <c r="I125">
        <v>46328</v>
      </c>
      <c r="J125">
        <v>44293</v>
      </c>
      <c r="K125">
        <v>299</v>
      </c>
      <c r="L125" s="4" t="s">
        <v>40</v>
      </c>
      <c r="M125" s="4" t="s">
        <v>37</v>
      </c>
      <c r="N125" s="4" t="s">
        <v>16</v>
      </c>
      <c r="O125" s="33">
        <f t="shared" si="1"/>
        <v>8.5455879813503707E-2</v>
      </c>
      <c r="P125" s="92">
        <f>(_xlfn.XLOOKUP(Table1__3[[#This Row],[Campaign_Name]],Table3[Campaign_Name],Table3[Start_Date]))</f>
        <v>45667</v>
      </c>
      <c r="Q125" s="92">
        <f>(_xlfn.XLOOKUP(Table1__3[[#This Row],[Campaign_Name]],Table3[Campaign_Name],Table3[End_Date]))</f>
        <v>45698</v>
      </c>
      <c r="R125" s="4" t="str">
        <f>IF(Table1__3[[#This Row],[Date]] &lt; Table1__3[[#This Row],[Start_Date]], "Before",
   IF(AND(Table1__3[[#This Row],[Date]] &gt;= Table1__3[[#This Row],[Start_Date]], Table1__3[[#This Row],[Date]] &lt;= Table1__3[[#This Row],[End_Date]]), "During",
   "After"))</f>
        <v>Before</v>
      </c>
      <c r="S125" s="31"/>
      <c r="T125" s="31"/>
    </row>
    <row r="126" spans="1:20">
      <c r="A126" s="4" t="s">
        <v>159</v>
      </c>
      <c r="B126" s="4" t="s">
        <v>22</v>
      </c>
      <c r="C126" s="92">
        <v>45602</v>
      </c>
      <c r="D126" s="4" t="s">
        <v>14</v>
      </c>
      <c r="E126" s="4" t="s">
        <v>44</v>
      </c>
      <c r="F126">
        <v>2956</v>
      </c>
      <c r="G126">
        <v>381</v>
      </c>
      <c r="H126">
        <v>345</v>
      </c>
      <c r="I126">
        <v>33347</v>
      </c>
      <c r="J126">
        <v>22558</v>
      </c>
      <c r="K126">
        <v>173</v>
      </c>
      <c r="L126" s="4" t="s">
        <v>37</v>
      </c>
      <c r="M126" s="4"/>
      <c r="N126" s="4" t="s">
        <v>16</v>
      </c>
      <c r="O126" s="33">
        <f t="shared" si="1"/>
        <v>0.11041472996071611</v>
      </c>
      <c r="P126" s="92">
        <f>(_xlfn.XLOOKUP(Table1__3[[#This Row],[Campaign_Name]],Table3[Campaign_Name],Table3[Start_Date]))</f>
        <v>45667</v>
      </c>
      <c r="Q126" s="92">
        <f>(_xlfn.XLOOKUP(Table1__3[[#This Row],[Campaign_Name]],Table3[Campaign_Name],Table3[End_Date]))</f>
        <v>45698</v>
      </c>
      <c r="R126" s="4" t="str">
        <f>IF(Table1__3[[#This Row],[Date]] &lt; Table1__3[[#This Row],[Start_Date]], "Before",
   IF(AND(Table1__3[[#This Row],[Date]] &gt;= Table1__3[[#This Row],[Start_Date]], Table1__3[[#This Row],[Date]] &lt;= Table1__3[[#This Row],[End_Date]]), "During",
   "After"))</f>
        <v>Before</v>
      </c>
      <c r="S126" s="31"/>
      <c r="T126" s="31"/>
    </row>
    <row r="127" spans="1:20">
      <c r="A127" s="4" t="s">
        <v>160</v>
      </c>
      <c r="B127" s="4" t="s">
        <v>22</v>
      </c>
      <c r="C127" s="92">
        <v>45295</v>
      </c>
      <c r="D127" s="4" t="s">
        <v>23</v>
      </c>
      <c r="E127" s="4" t="s">
        <v>31</v>
      </c>
      <c r="F127">
        <v>3208</v>
      </c>
      <c r="G127">
        <v>476</v>
      </c>
      <c r="H127">
        <v>277</v>
      </c>
      <c r="I127">
        <v>56072</v>
      </c>
      <c r="J127">
        <v>21061</v>
      </c>
      <c r="K127">
        <v>113</v>
      </c>
      <c r="L127" s="4" t="s">
        <v>363</v>
      </c>
      <c r="M127" s="4" t="s">
        <v>37</v>
      </c>
      <c r="N127" s="4" t="s">
        <v>16</v>
      </c>
      <c r="O127" s="33">
        <f t="shared" si="1"/>
        <v>7.064131830503638E-2</v>
      </c>
      <c r="P127" s="92">
        <f>(_xlfn.XLOOKUP(Table1__3[[#This Row],[Campaign_Name]],Table3[Campaign_Name],Table3[Start_Date]))</f>
        <v>45667</v>
      </c>
      <c r="Q127" s="92">
        <f>(_xlfn.XLOOKUP(Table1__3[[#This Row],[Campaign_Name]],Table3[Campaign_Name],Table3[End_Date]))</f>
        <v>45698</v>
      </c>
      <c r="R127" s="4" t="str">
        <f>IF(Table1__3[[#This Row],[Date]] &lt; Table1__3[[#This Row],[Start_Date]], "Before",
   IF(AND(Table1__3[[#This Row],[Date]] &gt;= Table1__3[[#This Row],[Start_Date]], Table1__3[[#This Row],[Date]] &lt;= Table1__3[[#This Row],[End_Date]]), "During",
   "After"))</f>
        <v>Before</v>
      </c>
      <c r="S127" s="31"/>
      <c r="T127" s="31"/>
    </row>
    <row r="128" spans="1:20">
      <c r="A128" s="4" t="s">
        <v>161</v>
      </c>
      <c r="B128" s="4" t="s">
        <v>22</v>
      </c>
      <c r="C128" s="92">
        <v>45319</v>
      </c>
      <c r="D128" s="4" t="s">
        <v>14</v>
      </c>
      <c r="E128" s="4" t="s">
        <v>29</v>
      </c>
      <c r="F128">
        <v>1456</v>
      </c>
      <c r="G128">
        <v>265</v>
      </c>
      <c r="H128">
        <v>137</v>
      </c>
      <c r="I128">
        <v>53485</v>
      </c>
      <c r="J128">
        <v>59729</v>
      </c>
      <c r="K128">
        <v>145</v>
      </c>
      <c r="L128" s="4" t="s">
        <v>40</v>
      </c>
      <c r="M128" s="4"/>
      <c r="N128" s="4" t="s">
        <v>20</v>
      </c>
      <c r="O128" s="33">
        <f t="shared" si="1"/>
        <v>3.4738711788351875E-2</v>
      </c>
      <c r="P128" s="92">
        <f>(_xlfn.XLOOKUP(Table1__3[[#This Row],[Campaign_Name]],Table3[Campaign_Name],Table3[Start_Date]))</f>
        <v>45717</v>
      </c>
      <c r="Q128" s="92">
        <f>(_xlfn.XLOOKUP(Table1__3[[#This Row],[Campaign_Name]],Table3[Campaign_Name],Table3[End_Date]))</f>
        <v>45747</v>
      </c>
      <c r="R128" s="4" t="str">
        <f>IF(Table1__3[[#This Row],[Date]] &lt; Table1__3[[#This Row],[Start_Date]], "Before",
   IF(AND(Table1__3[[#This Row],[Date]] &gt;= Table1__3[[#This Row],[Start_Date]], Table1__3[[#This Row],[Date]] &lt;= Table1__3[[#This Row],[End_Date]]), "During",
   "After"))</f>
        <v>Before</v>
      </c>
      <c r="S128" s="31"/>
      <c r="T128" s="31"/>
    </row>
    <row r="129" spans="1:20">
      <c r="A129" s="4" t="s">
        <v>162</v>
      </c>
      <c r="B129" s="4" t="s">
        <v>13</v>
      </c>
      <c r="C129" s="92">
        <v>45344</v>
      </c>
      <c r="D129" s="4" t="s">
        <v>14</v>
      </c>
      <c r="E129" s="4" t="s">
        <v>24</v>
      </c>
      <c r="F129">
        <v>1902</v>
      </c>
      <c r="G129">
        <v>394</v>
      </c>
      <c r="H129">
        <v>279</v>
      </c>
      <c r="I129">
        <v>24615</v>
      </c>
      <c r="J129">
        <v>51330</v>
      </c>
      <c r="K129">
        <v>176</v>
      </c>
      <c r="L129" s="4" t="s">
        <v>40</v>
      </c>
      <c r="M129" s="4" t="s">
        <v>37</v>
      </c>
      <c r="N129" s="4" t="s">
        <v>16</v>
      </c>
      <c r="O129" s="33">
        <f t="shared" si="1"/>
        <v>0.10461100954702417</v>
      </c>
      <c r="P129" s="92">
        <f>(_xlfn.XLOOKUP(Table1__3[[#This Row],[Campaign_Name]],Table3[Campaign_Name],Table3[Start_Date]))</f>
        <v>45667</v>
      </c>
      <c r="Q129" s="92">
        <f>(_xlfn.XLOOKUP(Table1__3[[#This Row],[Campaign_Name]],Table3[Campaign_Name],Table3[End_Date]))</f>
        <v>45698</v>
      </c>
      <c r="R129" s="4" t="str">
        <f>IF(Table1__3[[#This Row],[Date]] &lt; Table1__3[[#This Row],[Start_Date]], "Before",
   IF(AND(Table1__3[[#This Row],[Date]] &gt;= Table1__3[[#This Row],[Start_Date]], Table1__3[[#This Row],[Date]] &lt;= Table1__3[[#This Row],[End_Date]]), "During",
   "After"))</f>
        <v>Before</v>
      </c>
      <c r="S129" s="31"/>
      <c r="T129" s="31"/>
    </row>
    <row r="130" spans="1:20">
      <c r="A130" s="4" t="s">
        <v>163</v>
      </c>
      <c r="B130" s="4" t="s">
        <v>22</v>
      </c>
      <c r="C130" s="92">
        <v>45839</v>
      </c>
      <c r="D130" s="4" t="s">
        <v>23</v>
      </c>
      <c r="E130" s="4" t="s">
        <v>18</v>
      </c>
      <c r="F130">
        <v>3219</v>
      </c>
      <c r="G130">
        <v>424</v>
      </c>
      <c r="H130">
        <v>267</v>
      </c>
      <c r="I130">
        <v>48879</v>
      </c>
      <c r="J130">
        <v>37691</v>
      </c>
      <c r="K130">
        <v>224</v>
      </c>
      <c r="L130" s="4" t="s">
        <v>19</v>
      </c>
      <c r="M130" s="4" t="s">
        <v>363</v>
      </c>
      <c r="N130" s="4" t="s">
        <v>16</v>
      </c>
      <c r="O130" s="33">
        <f t="shared" ref="O130:O193" si="2">(F130+G130+H130)/I130</f>
        <v>7.9993453221219743E-2</v>
      </c>
      <c r="P130" s="92">
        <f>(_xlfn.XLOOKUP(Table1__3[[#This Row],[Campaign_Name]],Table3[Campaign_Name],Table3[Start_Date]))</f>
        <v>45667</v>
      </c>
      <c r="Q130" s="92">
        <f>(_xlfn.XLOOKUP(Table1__3[[#This Row],[Campaign_Name]],Table3[Campaign_Name],Table3[End_Date]))</f>
        <v>45698</v>
      </c>
      <c r="R130" s="4" t="str">
        <f>IF(Table1__3[[#This Row],[Date]] &lt; Table1__3[[#This Row],[Start_Date]], "Before",
   IF(AND(Table1__3[[#This Row],[Date]] &gt;= Table1__3[[#This Row],[Start_Date]], Table1__3[[#This Row],[Date]] &lt;= Table1__3[[#This Row],[End_Date]]), "During",
   "After"))</f>
        <v>After</v>
      </c>
      <c r="S130" s="31"/>
      <c r="T130" s="31"/>
    </row>
    <row r="131" spans="1:20">
      <c r="A131" s="4" t="s">
        <v>164</v>
      </c>
      <c r="B131" s="4" t="s">
        <v>28</v>
      </c>
      <c r="C131" s="92">
        <v>45301</v>
      </c>
      <c r="D131" s="4" t="s">
        <v>14</v>
      </c>
      <c r="E131" s="4" t="s">
        <v>18</v>
      </c>
      <c r="F131">
        <v>1261</v>
      </c>
      <c r="G131">
        <v>190</v>
      </c>
      <c r="H131">
        <v>233</v>
      </c>
      <c r="I131">
        <v>59888</v>
      </c>
      <c r="J131">
        <v>51449</v>
      </c>
      <c r="K131">
        <v>205</v>
      </c>
      <c r="L131" s="4" t="s">
        <v>19</v>
      </c>
      <c r="M131" s="4" t="s">
        <v>364</v>
      </c>
      <c r="N131" s="4" t="s">
        <v>20</v>
      </c>
      <c r="O131" s="33">
        <f t="shared" si="2"/>
        <v>2.811915575741384E-2</v>
      </c>
      <c r="P131" s="92">
        <f>(_xlfn.XLOOKUP(Table1__3[[#This Row],[Campaign_Name]],Table3[Campaign_Name],Table3[Start_Date]))</f>
        <v>45717</v>
      </c>
      <c r="Q131" s="92">
        <f>(_xlfn.XLOOKUP(Table1__3[[#This Row],[Campaign_Name]],Table3[Campaign_Name],Table3[End_Date]))</f>
        <v>45747</v>
      </c>
      <c r="R131" s="4" t="str">
        <f>IF(Table1__3[[#This Row],[Date]] &lt; Table1__3[[#This Row],[Start_Date]], "Before",
   IF(AND(Table1__3[[#This Row],[Date]] &gt;= Table1__3[[#This Row],[Start_Date]], Table1__3[[#This Row],[Date]] &lt;= Table1__3[[#This Row],[End_Date]]), "During",
   "After"))</f>
        <v>Before</v>
      </c>
      <c r="S131" s="31"/>
      <c r="T131" s="31"/>
    </row>
    <row r="132" spans="1:20">
      <c r="A132" s="4" t="s">
        <v>165</v>
      </c>
      <c r="B132" s="4" t="s">
        <v>22</v>
      </c>
      <c r="C132" s="92">
        <v>45736</v>
      </c>
      <c r="D132" s="4" t="s">
        <v>14</v>
      </c>
      <c r="E132" s="4" t="s">
        <v>46</v>
      </c>
      <c r="F132">
        <v>1564</v>
      </c>
      <c r="G132">
        <v>362</v>
      </c>
      <c r="H132">
        <v>371</v>
      </c>
      <c r="I132">
        <v>42075</v>
      </c>
      <c r="J132">
        <v>66659</v>
      </c>
      <c r="K132">
        <v>205</v>
      </c>
      <c r="L132" s="4" t="s">
        <v>40</v>
      </c>
      <c r="M132" s="4"/>
      <c r="N132" s="4" t="s">
        <v>20</v>
      </c>
      <c r="O132" s="33">
        <f t="shared" si="2"/>
        <v>5.4592988710635768E-2</v>
      </c>
      <c r="P132" s="92">
        <f>(_xlfn.XLOOKUP(Table1__3[[#This Row],[Campaign_Name]],Table3[Campaign_Name],Table3[Start_Date]))</f>
        <v>45717</v>
      </c>
      <c r="Q132" s="92">
        <f>(_xlfn.XLOOKUP(Table1__3[[#This Row],[Campaign_Name]],Table3[Campaign_Name],Table3[End_Date]))</f>
        <v>45747</v>
      </c>
      <c r="R132" s="4" t="str">
        <f>IF(Table1__3[[#This Row],[Date]] &lt; Table1__3[[#This Row],[Start_Date]], "Before",
   IF(AND(Table1__3[[#This Row],[Date]] &gt;= Table1__3[[#This Row],[Start_Date]], Table1__3[[#This Row],[Date]] &lt;= Table1__3[[#This Row],[End_Date]]), "During",
   "After"))</f>
        <v>During</v>
      </c>
      <c r="S132" s="31"/>
      <c r="T132" s="31"/>
    </row>
    <row r="133" spans="1:20">
      <c r="A133" s="4" t="s">
        <v>166</v>
      </c>
      <c r="B133" s="4" t="s">
        <v>22</v>
      </c>
      <c r="C133" s="92">
        <v>45563</v>
      </c>
      <c r="D133" s="4" t="s">
        <v>14</v>
      </c>
      <c r="E133" s="4" t="s">
        <v>31</v>
      </c>
      <c r="F133">
        <v>4006</v>
      </c>
      <c r="G133">
        <v>420</v>
      </c>
      <c r="H133">
        <v>194</v>
      </c>
      <c r="I133">
        <v>49964</v>
      </c>
      <c r="J133">
        <v>20685</v>
      </c>
      <c r="K133">
        <v>148</v>
      </c>
      <c r="L133" s="4" t="s">
        <v>37</v>
      </c>
      <c r="M133" s="4"/>
      <c r="N133" s="4" t="s">
        <v>16</v>
      </c>
      <c r="O133" s="33">
        <f t="shared" si="2"/>
        <v>9.2466575934672959E-2</v>
      </c>
      <c r="P133" s="92">
        <f>(_xlfn.XLOOKUP(Table1__3[[#This Row],[Campaign_Name]],Table3[Campaign_Name],Table3[Start_Date]))</f>
        <v>45667</v>
      </c>
      <c r="Q133" s="92">
        <f>(_xlfn.XLOOKUP(Table1__3[[#This Row],[Campaign_Name]],Table3[Campaign_Name],Table3[End_Date]))</f>
        <v>45698</v>
      </c>
      <c r="R133" s="4" t="str">
        <f>IF(Table1__3[[#This Row],[Date]] &lt; Table1__3[[#This Row],[Start_Date]], "Before",
   IF(AND(Table1__3[[#This Row],[Date]] &gt;= Table1__3[[#This Row],[Start_Date]], Table1__3[[#This Row],[Date]] &lt;= Table1__3[[#This Row],[End_Date]]), "During",
   "After"))</f>
        <v>Before</v>
      </c>
      <c r="S133" s="31"/>
      <c r="T133" s="31"/>
    </row>
    <row r="134" spans="1:20">
      <c r="A134" s="4" t="s">
        <v>167</v>
      </c>
      <c r="B134" s="4" t="s">
        <v>28</v>
      </c>
      <c r="C134" s="92">
        <v>45318</v>
      </c>
      <c r="D134" s="4" t="s">
        <v>14</v>
      </c>
      <c r="E134" s="4" t="s">
        <v>46</v>
      </c>
      <c r="F134">
        <v>1976</v>
      </c>
      <c r="G134">
        <v>262</v>
      </c>
      <c r="H134">
        <v>218</v>
      </c>
      <c r="I134">
        <v>51696</v>
      </c>
      <c r="J134">
        <v>44846</v>
      </c>
      <c r="K134">
        <v>139</v>
      </c>
      <c r="L134" s="4" t="s">
        <v>19</v>
      </c>
      <c r="M134" s="4" t="s">
        <v>364</v>
      </c>
      <c r="N134" s="4" t="s">
        <v>20</v>
      </c>
      <c r="O134" s="33">
        <f t="shared" si="2"/>
        <v>4.7508511296812134E-2</v>
      </c>
      <c r="P134" s="92">
        <f>(_xlfn.XLOOKUP(Table1__3[[#This Row],[Campaign_Name]],Table3[Campaign_Name],Table3[Start_Date]))</f>
        <v>45717</v>
      </c>
      <c r="Q134" s="92">
        <f>(_xlfn.XLOOKUP(Table1__3[[#This Row],[Campaign_Name]],Table3[Campaign_Name],Table3[End_Date]))</f>
        <v>45747</v>
      </c>
      <c r="R134" s="4" t="str">
        <f>IF(Table1__3[[#This Row],[Date]] &lt; Table1__3[[#This Row],[Start_Date]], "Before",
   IF(AND(Table1__3[[#This Row],[Date]] &gt;= Table1__3[[#This Row],[Start_Date]], Table1__3[[#This Row],[Date]] &lt;= Table1__3[[#This Row],[End_Date]]), "During",
   "After"))</f>
        <v>Before</v>
      </c>
      <c r="S134" s="31"/>
      <c r="T134" s="31"/>
    </row>
    <row r="135" spans="1:20">
      <c r="A135" s="4" t="s">
        <v>168</v>
      </c>
      <c r="B135" s="4" t="s">
        <v>22</v>
      </c>
      <c r="C135" s="92">
        <v>45792</v>
      </c>
      <c r="D135" s="4" t="s">
        <v>14</v>
      </c>
      <c r="E135" s="4" t="s">
        <v>24</v>
      </c>
      <c r="F135">
        <v>1583</v>
      </c>
      <c r="G135">
        <v>433</v>
      </c>
      <c r="H135">
        <v>249</v>
      </c>
      <c r="I135">
        <v>30256</v>
      </c>
      <c r="J135">
        <v>47066</v>
      </c>
      <c r="K135">
        <v>196</v>
      </c>
      <c r="L135" s="4" t="s">
        <v>37</v>
      </c>
      <c r="M135" s="4"/>
      <c r="N135" s="4" t="s">
        <v>16</v>
      </c>
      <c r="O135" s="33">
        <f t="shared" si="2"/>
        <v>7.4861184558434685E-2</v>
      </c>
      <c r="P135" s="92">
        <f>(_xlfn.XLOOKUP(Table1__3[[#This Row],[Campaign_Name]],Table3[Campaign_Name],Table3[Start_Date]))</f>
        <v>45667</v>
      </c>
      <c r="Q135" s="92">
        <f>(_xlfn.XLOOKUP(Table1__3[[#This Row],[Campaign_Name]],Table3[Campaign_Name],Table3[End_Date]))</f>
        <v>45698</v>
      </c>
      <c r="R135" s="4" t="str">
        <f>IF(Table1__3[[#This Row],[Date]] &lt; Table1__3[[#This Row],[Start_Date]], "Before",
   IF(AND(Table1__3[[#This Row],[Date]] &gt;= Table1__3[[#This Row],[Start_Date]], Table1__3[[#This Row],[Date]] &lt;= Table1__3[[#This Row],[End_Date]]), "During",
   "After"))</f>
        <v>After</v>
      </c>
      <c r="S135" s="31"/>
      <c r="T135" s="31"/>
    </row>
    <row r="136" spans="1:20">
      <c r="A136" s="4" t="s">
        <v>169</v>
      </c>
      <c r="B136" s="4" t="s">
        <v>22</v>
      </c>
      <c r="C136" s="92">
        <v>45569</v>
      </c>
      <c r="D136" s="4" t="s">
        <v>23</v>
      </c>
      <c r="E136" s="4" t="s">
        <v>18</v>
      </c>
      <c r="F136">
        <v>2870</v>
      </c>
      <c r="G136">
        <v>380</v>
      </c>
      <c r="H136">
        <v>393</v>
      </c>
      <c r="I136">
        <v>37621</v>
      </c>
      <c r="J136">
        <v>71794</v>
      </c>
      <c r="K136">
        <v>127</v>
      </c>
      <c r="L136" s="4" t="s">
        <v>363</v>
      </c>
      <c r="M136" s="4" t="s">
        <v>37</v>
      </c>
      <c r="N136" s="4" t="s">
        <v>16</v>
      </c>
      <c r="O136" s="33">
        <f t="shared" si="2"/>
        <v>9.6834214933149046E-2</v>
      </c>
      <c r="P136" s="92">
        <f>(_xlfn.XLOOKUP(Table1__3[[#This Row],[Campaign_Name]],Table3[Campaign_Name],Table3[Start_Date]))</f>
        <v>45667</v>
      </c>
      <c r="Q136" s="92">
        <f>(_xlfn.XLOOKUP(Table1__3[[#This Row],[Campaign_Name]],Table3[Campaign_Name],Table3[End_Date]))</f>
        <v>45698</v>
      </c>
      <c r="R136" s="4" t="str">
        <f>IF(Table1__3[[#This Row],[Date]] &lt; Table1__3[[#This Row],[Start_Date]], "Before",
   IF(AND(Table1__3[[#This Row],[Date]] &gt;= Table1__3[[#This Row],[Start_Date]], Table1__3[[#This Row],[Date]] &lt;= Table1__3[[#This Row],[End_Date]]), "During",
   "After"))</f>
        <v>Before</v>
      </c>
      <c r="S136" s="31"/>
      <c r="T136" s="31"/>
    </row>
    <row r="137" spans="1:20">
      <c r="A137" s="4" t="s">
        <v>170</v>
      </c>
      <c r="B137" s="4" t="s">
        <v>22</v>
      </c>
      <c r="C137" s="92">
        <v>45615</v>
      </c>
      <c r="D137" s="4" t="s">
        <v>14</v>
      </c>
      <c r="E137" s="4" t="s">
        <v>36</v>
      </c>
      <c r="F137">
        <v>3728</v>
      </c>
      <c r="G137">
        <v>271</v>
      </c>
      <c r="H137">
        <v>275</v>
      </c>
      <c r="I137">
        <v>22827</v>
      </c>
      <c r="J137">
        <v>37034</v>
      </c>
      <c r="K137">
        <v>199</v>
      </c>
      <c r="L137" s="4" t="s">
        <v>37</v>
      </c>
      <c r="M137" s="4"/>
      <c r="N137" s="4" t="s">
        <v>16</v>
      </c>
      <c r="O137" s="33">
        <f t="shared" si="2"/>
        <v>0.18723441538528934</v>
      </c>
      <c r="P137" s="92">
        <f>(_xlfn.XLOOKUP(Table1__3[[#This Row],[Campaign_Name]],Table3[Campaign_Name],Table3[Start_Date]))</f>
        <v>45667</v>
      </c>
      <c r="Q137" s="92">
        <f>(_xlfn.XLOOKUP(Table1__3[[#This Row],[Campaign_Name]],Table3[Campaign_Name],Table3[End_Date]))</f>
        <v>45698</v>
      </c>
      <c r="R137" s="4" t="str">
        <f>IF(Table1__3[[#This Row],[Date]] &lt; Table1__3[[#This Row],[Start_Date]], "Before",
   IF(AND(Table1__3[[#This Row],[Date]] &gt;= Table1__3[[#This Row],[Start_Date]], Table1__3[[#This Row],[Date]] &lt;= Table1__3[[#This Row],[End_Date]]), "During",
   "After"))</f>
        <v>Before</v>
      </c>
      <c r="S137" s="31"/>
      <c r="T137" s="31"/>
    </row>
    <row r="138" spans="1:20">
      <c r="A138" s="4" t="s">
        <v>171</v>
      </c>
      <c r="B138" s="4" t="s">
        <v>22</v>
      </c>
      <c r="C138" s="92">
        <v>45387</v>
      </c>
      <c r="D138" s="4" t="s">
        <v>23</v>
      </c>
      <c r="E138" s="4" t="s">
        <v>24</v>
      </c>
      <c r="F138">
        <v>4965</v>
      </c>
      <c r="G138">
        <v>175</v>
      </c>
      <c r="H138">
        <v>307</v>
      </c>
      <c r="I138">
        <v>32793</v>
      </c>
      <c r="J138">
        <v>43412</v>
      </c>
      <c r="K138">
        <v>296</v>
      </c>
      <c r="L138" s="4" t="s">
        <v>40</v>
      </c>
      <c r="M138" s="4" t="s">
        <v>37</v>
      </c>
      <c r="N138" s="4" t="s">
        <v>16</v>
      </c>
      <c r="O138" s="33">
        <f t="shared" si="2"/>
        <v>0.16610252187966945</v>
      </c>
      <c r="P138" s="92">
        <f>(_xlfn.XLOOKUP(Table1__3[[#This Row],[Campaign_Name]],Table3[Campaign_Name],Table3[Start_Date]))</f>
        <v>45667</v>
      </c>
      <c r="Q138" s="92">
        <f>(_xlfn.XLOOKUP(Table1__3[[#This Row],[Campaign_Name]],Table3[Campaign_Name],Table3[End_Date]))</f>
        <v>45698</v>
      </c>
      <c r="R138" s="4" t="str">
        <f>IF(Table1__3[[#This Row],[Date]] &lt; Table1__3[[#This Row],[Start_Date]], "Before",
   IF(AND(Table1__3[[#This Row],[Date]] &gt;= Table1__3[[#This Row],[Start_Date]], Table1__3[[#This Row],[Date]] &lt;= Table1__3[[#This Row],[End_Date]]), "During",
   "After"))</f>
        <v>Before</v>
      </c>
      <c r="S138" s="31"/>
      <c r="T138" s="31"/>
    </row>
    <row r="139" spans="1:20">
      <c r="A139" s="4" t="s">
        <v>172</v>
      </c>
      <c r="B139" s="4" t="s">
        <v>22</v>
      </c>
      <c r="C139" s="92">
        <v>45624</v>
      </c>
      <c r="D139" s="4" t="s">
        <v>23</v>
      </c>
      <c r="E139" s="4" t="s">
        <v>24</v>
      </c>
      <c r="F139">
        <v>1131</v>
      </c>
      <c r="G139">
        <v>100</v>
      </c>
      <c r="H139">
        <v>116</v>
      </c>
      <c r="I139">
        <v>48437</v>
      </c>
      <c r="J139">
        <v>72704</v>
      </c>
      <c r="K139">
        <v>236</v>
      </c>
      <c r="L139" s="4" t="s">
        <v>19</v>
      </c>
      <c r="M139" s="4" t="s">
        <v>363</v>
      </c>
      <c r="N139" s="4" t="s">
        <v>16</v>
      </c>
      <c r="O139" s="33">
        <f t="shared" si="2"/>
        <v>2.7809319322005904E-2</v>
      </c>
      <c r="P139" s="92">
        <f>(_xlfn.XLOOKUP(Table1__3[[#This Row],[Campaign_Name]],Table3[Campaign_Name],Table3[Start_Date]))</f>
        <v>45667</v>
      </c>
      <c r="Q139" s="92">
        <f>(_xlfn.XLOOKUP(Table1__3[[#This Row],[Campaign_Name]],Table3[Campaign_Name],Table3[End_Date]))</f>
        <v>45698</v>
      </c>
      <c r="R139" s="4" t="str">
        <f>IF(Table1__3[[#This Row],[Date]] &lt; Table1__3[[#This Row],[Start_Date]], "Before",
   IF(AND(Table1__3[[#This Row],[Date]] &gt;= Table1__3[[#This Row],[Start_Date]], Table1__3[[#This Row],[Date]] &lt;= Table1__3[[#This Row],[End_Date]]), "During",
   "After"))</f>
        <v>Before</v>
      </c>
      <c r="S139" s="31"/>
      <c r="T139" s="31"/>
    </row>
    <row r="140" spans="1:20">
      <c r="A140" s="4" t="s">
        <v>173</v>
      </c>
      <c r="B140" s="4" t="s">
        <v>22</v>
      </c>
      <c r="C140" s="92">
        <v>45725</v>
      </c>
      <c r="D140" s="4" t="s">
        <v>14</v>
      </c>
      <c r="E140" s="4" t="s">
        <v>46</v>
      </c>
      <c r="F140">
        <v>2754</v>
      </c>
      <c r="G140">
        <v>215</v>
      </c>
      <c r="H140">
        <v>264</v>
      </c>
      <c r="I140">
        <v>27762</v>
      </c>
      <c r="J140">
        <v>70203</v>
      </c>
      <c r="K140">
        <v>289</v>
      </c>
      <c r="L140" s="4" t="s">
        <v>37</v>
      </c>
      <c r="M140" s="4"/>
      <c r="N140" s="4" t="s">
        <v>16</v>
      </c>
      <c r="O140" s="33">
        <f t="shared" si="2"/>
        <v>0.11645414595490239</v>
      </c>
      <c r="P140" s="92">
        <f>(_xlfn.XLOOKUP(Table1__3[[#This Row],[Campaign_Name]],Table3[Campaign_Name],Table3[Start_Date]))</f>
        <v>45667</v>
      </c>
      <c r="Q140" s="92">
        <f>(_xlfn.XLOOKUP(Table1__3[[#This Row],[Campaign_Name]],Table3[Campaign_Name],Table3[End_Date]))</f>
        <v>45698</v>
      </c>
      <c r="R140" s="4" t="str">
        <f>IF(Table1__3[[#This Row],[Date]] &lt; Table1__3[[#This Row],[Start_Date]], "Before",
   IF(AND(Table1__3[[#This Row],[Date]] &gt;= Table1__3[[#This Row],[Start_Date]], Table1__3[[#This Row],[Date]] &lt;= Table1__3[[#This Row],[End_Date]]), "During",
   "After"))</f>
        <v>After</v>
      </c>
      <c r="S140" s="31"/>
      <c r="T140" s="31"/>
    </row>
    <row r="141" spans="1:20">
      <c r="A141" s="4" t="s">
        <v>174</v>
      </c>
      <c r="B141" s="4" t="s">
        <v>22</v>
      </c>
      <c r="C141" s="92">
        <v>45531</v>
      </c>
      <c r="D141" s="4" t="s">
        <v>23</v>
      </c>
      <c r="E141" s="4" t="s">
        <v>24</v>
      </c>
      <c r="F141">
        <v>1856</v>
      </c>
      <c r="G141">
        <v>357</v>
      </c>
      <c r="H141">
        <v>348</v>
      </c>
      <c r="I141">
        <v>29428</v>
      </c>
      <c r="J141">
        <v>70206</v>
      </c>
      <c r="K141">
        <v>236</v>
      </c>
      <c r="L141" s="4" t="s">
        <v>363</v>
      </c>
      <c r="M141" s="4" t="s">
        <v>37</v>
      </c>
      <c r="N141" s="4" t="s">
        <v>16</v>
      </c>
      <c r="O141" s="33">
        <f t="shared" si="2"/>
        <v>8.702596166915863E-2</v>
      </c>
      <c r="P141" s="92">
        <f>(_xlfn.XLOOKUP(Table1__3[[#This Row],[Campaign_Name]],Table3[Campaign_Name],Table3[Start_Date]))</f>
        <v>45667</v>
      </c>
      <c r="Q141" s="92">
        <f>(_xlfn.XLOOKUP(Table1__3[[#This Row],[Campaign_Name]],Table3[Campaign_Name],Table3[End_Date]))</f>
        <v>45698</v>
      </c>
      <c r="R141" s="4" t="str">
        <f>IF(Table1__3[[#This Row],[Date]] &lt; Table1__3[[#This Row],[Start_Date]], "Before",
   IF(AND(Table1__3[[#This Row],[Date]] &gt;= Table1__3[[#This Row],[Start_Date]], Table1__3[[#This Row],[Date]] &lt;= Table1__3[[#This Row],[End_Date]]), "During",
   "After"))</f>
        <v>Before</v>
      </c>
      <c r="S141" s="31"/>
      <c r="T141" s="31"/>
    </row>
    <row r="142" spans="1:20">
      <c r="A142" s="4" t="s">
        <v>175</v>
      </c>
      <c r="B142" s="4" t="s">
        <v>28</v>
      </c>
      <c r="C142" s="92">
        <v>45566</v>
      </c>
      <c r="D142" s="4" t="s">
        <v>52</v>
      </c>
      <c r="E142" s="4" t="s">
        <v>18</v>
      </c>
      <c r="F142">
        <v>3543</v>
      </c>
      <c r="G142">
        <v>334</v>
      </c>
      <c r="H142">
        <v>218</v>
      </c>
      <c r="I142">
        <v>58007</v>
      </c>
      <c r="J142">
        <v>24792</v>
      </c>
      <c r="K142">
        <v>273</v>
      </c>
      <c r="L142" s="4" t="s">
        <v>19</v>
      </c>
      <c r="M142" s="4" t="s">
        <v>40</v>
      </c>
      <c r="N142" s="4" t="s">
        <v>53</v>
      </c>
      <c r="O142" s="33">
        <f t="shared" si="2"/>
        <v>7.0594928198320889E-2</v>
      </c>
      <c r="P142" s="92">
        <f>(_xlfn.XLOOKUP(Table1__3[[#This Row],[Campaign_Name]],Table3[Campaign_Name],Table3[Start_Date]))</f>
        <v>45458</v>
      </c>
      <c r="Q142" s="92">
        <f>(_xlfn.XLOOKUP(Table1__3[[#This Row],[Campaign_Name]],Table3[Campaign_Name],Table3[End_Date]))</f>
        <v>45488</v>
      </c>
      <c r="R142" s="4" t="str">
        <f>IF(Table1__3[[#This Row],[Date]] &lt; Table1__3[[#This Row],[Start_Date]], "Before",
   IF(AND(Table1__3[[#This Row],[Date]] &gt;= Table1__3[[#This Row],[Start_Date]], Table1__3[[#This Row],[Date]] &lt;= Table1__3[[#This Row],[End_Date]]), "During",
   "After"))</f>
        <v>After</v>
      </c>
      <c r="S142" s="31"/>
      <c r="T142" s="31"/>
    </row>
    <row r="143" spans="1:20">
      <c r="A143" s="4" t="s">
        <v>176</v>
      </c>
      <c r="B143" s="4" t="s">
        <v>13</v>
      </c>
      <c r="C143" s="92">
        <v>45647</v>
      </c>
      <c r="D143" s="4" t="s">
        <v>23</v>
      </c>
      <c r="E143" s="4" t="s">
        <v>24</v>
      </c>
      <c r="F143">
        <v>4563</v>
      </c>
      <c r="G143">
        <v>398</v>
      </c>
      <c r="H143">
        <v>163</v>
      </c>
      <c r="I143">
        <v>43679</v>
      </c>
      <c r="J143">
        <v>48760</v>
      </c>
      <c r="K143">
        <v>92</v>
      </c>
      <c r="L143" s="4" t="s">
        <v>37</v>
      </c>
      <c r="M143" s="4"/>
      <c r="N143" s="4" t="s">
        <v>50</v>
      </c>
      <c r="O143" s="33">
        <f t="shared" si="2"/>
        <v>0.11731037798484398</v>
      </c>
      <c r="P143" s="92">
        <f>(_xlfn.XLOOKUP(Table1__3[[#This Row],[Campaign_Name]],Table3[Campaign_Name],Table3[Start_Date]))</f>
        <v>45627</v>
      </c>
      <c r="Q143" s="92">
        <f>(_xlfn.XLOOKUP(Table1__3[[#This Row],[Campaign_Name]],Table3[Campaign_Name],Table3[End_Date]))</f>
        <v>45657</v>
      </c>
      <c r="R143" s="4" t="str">
        <f>IF(Table1__3[[#This Row],[Date]] &lt; Table1__3[[#This Row],[Start_Date]], "Before",
   IF(AND(Table1__3[[#This Row],[Date]] &gt;= Table1__3[[#This Row],[Start_Date]], Table1__3[[#This Row],[Date]] &lt;= Table1__3[[#This Row],[End_Date]]), "During",
   "After"))</f>
        <v>During</v>
      </c>
      <c r="S143" s="31"/>
      <c r="T143" s="31"/>
    </row>
    <row r="144" spans="1:20">
      <c r="A144" s="4" t="s">
        <v>177</v>
      </c>
      <c r="B144" s="4" t="s">
        <v>13</v>
      </c>
      <c r="C144" s="92">
        <v>45460</v>
      </c>
      <c r="D144" s="4" t="s">
        <v>14</v>
      </c>
      <c r="E144" s="4" t="s">
        <v>15</v>
      </c>
      <c r="F144">
        <v>4283</v>
      </c>
      <c r="G144">
        <v>471</v>
      </c>
      <c r="H144">
        <v>156</v>
      </c>
      <c r="I144">
        <v>53004</v>
      </c>
      <c r="J144">
        <v>25678</v>
      </c>
      <c r="K144">
        <v>105</v>
      </c>
      <c r="L144" s="4" t="s">
        <v>19</v>
      </c>
      <c r="M144" s="4"/>
      <c r="N144" s="4" t="s">
        <v>20</v>
      </c>
      <c r="O144" s="33">
        <f t="shared" si="2"/>
        <v>9.2634518149573616E-2</v>
      </c>
      <c r="P144" s="92">
        <f>(_xlfn.XLOOKUP(Table1__3[[#This Row],[Campaign_Name]],Table3[Campaign_Name],Table3[Start_Date]))</f>
        <v>45717</v>
      </c>
      <c r="Q144" s="92">
        <f>(_xlfn.XLOOKUP(Table1__3[[#This Row],[Campaign_Name]],Table3[Campaign_Name],Table3[End_Date]))</f>
        <v>45747</v>
      </c>
      <c r="R144" s="4" t="str">
        <f>IF(Table1__3[[#This Row],[Date]] &lt; Table1__3[[#This Row],[Start_Date]], "Before",
   IF(AND(Table1__3[[#This Row],[Date]] &gt;= Table1__3[[#This Row],[Start_Date]], Table1__3[[#This Row],[Date]] &lt;= Table1__3[[#This Row],[End_Date]]), "During",
   "After"))</f>
        <v>Before</v>
      </c>
      <c r="S144" s="31"/>
      <c r="T144" s="31"/>
    </row>
    <row r="145" spans="1:20">
      <c r="A145" s="4" t="s">
        <v>178</v>
      </c>
      <c r="B145" s="4" t="s">
        <v>13</v>
      </c>
      <c r="C145" s="92">
        <v>45702</v>
      </c>
      <c r="D145" s="4" t="s">
        <v>14</v>
      </c>
      <c r="E145" s="4" t="s">
        <v>15</v>
      </c>
      <c r="F145">
        <v>2329</v>
      </c>
      <c r="G145">
        <v>373</v>
      </c>
      <c r="H145">
        <v>291</v>
      </c>
      <c r="I145">
        <v>49577</v>
      </c>
      <c r="J145">
        <v>28002</v>
      </c>
      <c r="K145">
        <v>82</v>
      </c>
      <c r="L145" s="4" t="s">
        <v>40</v>
      </c>
      <c r="M145" s="4" t="s">
        <v>37</v>
      </c>
      <c r="N145" s="4" t="s">
        <v>16</v>
      </c>
      <c r="O145" s="33">
        <f t="shared" si="2"/>
        <v>6.0370736430199488E-2</v>
      </c>
      <c r="P145" s="92">
        <f>(_xlfn.XLOOKUP(Table1__3[[#This Row],[Campaign_Name]],Table3[Campaign_Name],Table3[Start_Date]))</f>
        <v>45667</v>
      </c>
      <c r="Q145" s="92">
        <f>(_xlfn.XLOOKUP(Table1__3[[#This Row],[Campaign_Name]],Table3[Campaign_Name],Table3[End_Date]))</f>
        <v>45698</v>
      </c>
      <c r="R145" s="4" t="str">
        <f>IF(Table1__3[[#This Row],[Date]] &lt; Table1__3[[#This Row],[Start_Date]], "Before",
   IF(AND(Table1__3[[#This Row],[Date]] &gt;= Table1__3[[#This Row],[Start_Date]], Table1__3[[#This Row],[Date]] &lt;= Table1__3[[#This Row],[End_Date]]), "During",
   "After"))</f>
        <v>After</v>
      </c>
      <c r="S145" s="31"/>
      <c r="T145" s="31"/>
    </row>
    <row r="146" spans="1:20">
      <c r="A146" s="4" t="s">
        <v>179</v>
      </c>
      <c r="B146" s="4" t="s">
        <v>22</v>
      </c>
      <c r="C146" s="92">
        <v>45805</v>
      </c>
      <c r="D146" s="4" t="s">
        <v>23</v>
      </c>
      <c r="E146" s="4" t="s">
        <v>36</v>
      </c>
      <c r="F146">
        <v>4287</v>
      </c>
      <c r="G146">
        <v>273</v>
      </c>
      <c r="H146">
        <v>122</v>
      </c>
      <c r="I146">
        <v>40792</v>
      </c>
      <c r="J146">
        <v>23878</v>
      </c>
      <c r="K146">
        <v>277</v>
      </c>
      <c r="L146" s="4" t="s">
        <v>363</v>
      </c>
      <c r="M146" s="4" t="s">
        <v>37</v>
      </c>
      <c r="N146" s="4" t="s">
        <v>16</v>
      </c>
      <c r="O146" s="33">
        <f t="shared" si="2"/>
        <v>0.11477740733477153</v>
      </c>
      <c r="P146" s="92">
        <f>(_xlfn.XLOOKUP(Table1__3[[#This Row],[Campaign_Name]],Table3[Campaign_Name],Table3[Start_Date]))</f>
        <v>45667</v>
      </c>
      <c r="Q146" s="92">
        <f>(_xlfn.XLOOKUP(Table1__3[[#This Row],[Campaign_Name]],Table3[Campaign_Name],Table3[End_Date]))</f>
        <v>45698</v>
      </c>
      <c r="R146" s="4" t="str">
        <f>IF(Table1__3[[#This Row],[Date]] &lt; Table1__3[[#This Row],[Start_Date]], "Before",
   IF(AND(Table1__3[[#This Row],[Date]] &gt;= Table1__3[[#This Row],[Start_Date]], Table1__3[[#This Row],[Date]] &lt;= Table1__3[[#This Row],[End_Date]]), "During",
   "After"))</f>
        <v>After</v>
      </c>
      <c r="S146" s="31"/>
      <c r="T146" s="31"/>
    </row>
    <row r="147" spans="1:20">
      <c r="A147" s="4" t="s">
        <v>180</v>
      </c>
      <c r="B147" s="4" t="s">
        <v>13</v>
      </c>
      <c r="C147" s="92">
        <v>45799</v>
      </c>
      <c r="D147" s="4" t="s">
        <v>14</v>
      </c>
      <c r="E147" s="4" t="s">
        <v>15</v>
      </c>
      <c r="F147">
        <v>2633</v>
      </c>
      <c r="G147">
        <v>318</v>
      </c>
      <c r="H147">
        <v>380</v>
      </c>
      <c r="I147">
        <v>40869</v>
      </c>
      <c r="J147">
        <v>64474</v>
      </c>
      <c r="K147">
        <v>245</v>
      </c>
      <c r="L147" s="4" t="s">
        <v>19</v>
      </c>
      <c r="M147" s="4"/>
      <c r="N147" s="4" t="s">
        <v>20</v>
      </c>
      <c r="O147" s="33">
        <f t="shared" si="2"/>
        <v>8.1504318676747664E-2</v>
      </c>
      <c r="P147" s="92">
        <f>(_xlfn.XLOOKUP(Table1__3[[#This Row],[Campaign_Name]],Table3[Campaign_Name],Table3[Start_Date]))</f>
        <v>45717</v>
      </c>
      <c r="Q147" s="92">
        <f>(_xlfn.XLOOKUP(Table1__3[[#This Row],[Campaign_Name]],Table3[Campaign_Name],Table3[End_Date]))</f>
        <v>45747</v>
      </c>
      <c r="R147" s="4" t="str">
        <f>IF(Table1__3[[#This Row],[Date]] &lt; Table1__3[[#This Row],[Start_Date]], "Before",
   IF(AND(Table1__3[[#This Row],[Date]] &gt;= Table1__3[[#This Row],[Start_Date]], Table1__3[[#This Row],[Date]] &lt;= Table1__3[[#This Row],[End_Date]]), "During",
   "After"))</f>
        <v>After</v>
      </c>
      <c r="S147" s="31"/>
      <c r="T147" s="31"/>
    </row>
    <row r="148" spans="1:20">
      <c r="A148" s="4" t="s">
        <v>181</v>
      </c>
      <c r="B148" s="4" t="s">
        <v>22</v>
      </c>
      <c r="C148" s="92">
        <v>45312</v>
      </c>
      <c r="D148" s="4" t="s">
        <v>23</v>
      </c>
      <c r="E148" s="4" t="s">
        <v>15</v>
      </c>
      <c r="F148">
        <v>2383</v>
      </c>
      <c r="G148">
        <v>136</v>
      </c>
      <c r="H148">
        <v>302</v>
      </c>
      <c r="I148">
        <v>39187</v>
      </c>
      <c r="J148">
        <v>22133</v>
      </c>
      <c r="K148">
        <v>208</v>
      </c>
      <c r="L148" s="4" t="s">
        <v>363</v>
      </c>
      <c r="M148" s="4" t="s">
        <v>37</v>
      </c>
      <c r="N148" s="4" t="s">
        <v>16</v>
      </c>
      <c r="O148" s="33">
        <f t="shared" si="2"/>
        <v>7.1988159338556151E-2</v>
      </c>
      <c r="P148" s="92">
        <f>(_xlfn.XLOOKUP(Table1__3[[#This Row],[Campaign_Name]],Table3[Campaign_Name],Table3[Start_Date]))</f>
        <v>45667</v>
      </c>
      <c r="Q148" s="92">
        <f>(_xlfn.XLOOKUP(Table1__3[[#This Row],[Campaign_Name]],Table3[Campaign_Name],Table3[End_Date]))</f>
        <v>45698</v>
      </c>
      <c r="R148" s="4" t="str">
        <f>IF(Table1__3[[#This Row],[Date]] &lt; Table1__3[[#This Row],[Start_Date]], "Before",
   IF(AND(Table1__3[[#This Row],[Date]] &gt;= Table1__3[[#This Row],[Start_Date]], Table1__3[[#This Row],[Date]] &lt;= Table1__3[[#This Row],[End_Date]]), "During",
   "After"))</f>
        <v>Before</v>
      </c>
      <c r="S148" s="31"/>
      <c r="T148" s="31"/>
    </row>
    <row r="149" spans="1:20">
      <c r="A149" s="4" t="s">
        <v>182</v>
      </c>
      <c r="B149" s="4" t="s">
        <v>22</v>
      </c>
      <c r="C149" s="92">
        <v>45696</v>
      </c>
      <c r="D149" s="4" t="s">
        <v>23</v>
      </c>
      <c r="E149" s="4" t="s">
        <v>46</v>
      </c>
      <c r="F149">
        <v>4752</v>
      </c>
      <c r="G149">
        <v>334</v>
      </c>
      <c r="H149">
        <v>56</v>
      </c>
      <c r="I149">
        <v>48017</v>
      </c>
      <c r="J149">
        <v>55534</v>
      </c>
      <c r="K149">
        <v>270</v>
      </c>
      <c r="L149" s="4" t="s">
        <v>19</v>
      </c>
      <c r="M149" s="4" t="s">
        <v>363</v>
      </c>
      <c r="N149" s="4" t="s">
        <v>16</v>
      </c>
      <c r="O149" s="33">
        <f t="shared" si="2"/>
        <v>0.10708707332819627</v>
      </c>
      <c r="P149" s="92">
        <f>(_xlfn.XLOOKUP(Table1__3[[#This Row],[Campaign_Name]],Table3[Campaign_Name],Table3[Start_Date]))</f>
        <v>45667</v>
      </c>
      <c r="Q149" s="92">
        <f>(_xlfn.XLOOKUP(Table1__3[[#This Row],[Campaign_Name]],Table3[Campaign_Name],Table3[End_Date]))</f>
        <v>45698</v>
      </c>
      <c r="R149" s="4" t="str">
        <f>IF(Table1__3[[#This Row],[Date]] &lt; Table1__3[[#This Row],[Start_Date]], "Before",
   IF(AND(Table1__3[[#This Row],[Date]] &gt;= Table1__3[[#This Row],[Start_Date]], Table1__3[[#This Row],[Date]] &lt;= Table1__3[[#This Row],[End_Date]]), "During",
   "After"))</f>
        <v>During</v>
      </c>
      <c r="S149" s="31"/>
      <c r="T149" s="31"/>
    </row>
    <row r="150" spans="1:20">
      <c r="A150" s="4" t="s">
        <v>183</v>
      </c>
      <c r="B150" s="4" t="s">
        <v>22</v>
      </c>
      <c r="C150" s="92">
        <v>45760</v>
      </c>
      <c r="D150" s="4" t="s">
        <v>14</v>
      </c>
      <c r="E150" s="4" t="s">
        <v>44</v>
      </c>
      <c r="F150">
        <v>3890</v>
      </c>
      <c r="G150">
        <v>408</v>
      </c>
      <c r="H150">
        <v>338</v>
      </c>
      <c r="I150">
        <v>56994</v>
      </c>
      <c r="J150">
        <v>32621</v>
      </c>
      <c r="K150">
        <v>286</v>
      </c>
      <c r="L150" s="4" t="s">
        <v>40</v>
      </c>
      <c r="M150" s="4"/>
      <c r="N150" s="4" t="s">
        <v>20</v>
      </c>
      <c r="O150" s="33">
        <f t="shared" si="2"/>
        <v>8.1341895638137346E-2</v>
      </c>
      <c r="P150" s="92">
        <f>(_xlfn.XLOOKUP(Table1__3[[#This Row],[Campaign_Name]],Table3[Campaign_Name],Table3[Start_Date]))</f>
        <v>45717</v>
      </c>
      <c r="Q150" s="92">
        <f>(_xlfn.XLOOKUP(Table1__3[[#This Row],[Campaign_Name]],Table3[Campaign_Name],Table3[End_Date]))</f>
        <v>45747</v>
      </c>
      <c r="R150" s="4" t="str">
        <f>IF(Table1__3[[#This Row],[Date]] &lt; Table1__3[[#This Row],[Start_Date]], "Before",
   IF(AND(Table1__3[[#This Row],[Date]] &gt;= Table1__3[[#This Row],[Start_Date]], Table1__3[[#This Row],[Date]] &lt;= Table1__3[[#This Row],[End_Date]]), "During",
   "After"))</f>
        <v>After</v>
      </c>
      <c r="S150" s="31"/>
      <c r="T150" s="31"/>
    </row>
    <row r="151" spans="1:20">
      <c r="A151" s="4" t="s">
        <v>184</v>
      </c>
      <c r="B151" s="4" t="s">
        <v>22</v>
      </c>
      <c r="C151" s="92">
        <v>45442</v>
      </c>
      <c r="D151" s="4" t="s">
        <v>23</v>
      </c>
      <c r="E151" s="4" t="s">
        <v>46</v>
      </c>
      <c r="F151">
        <v>2311</v>
      </c>
      <c r="G151">
        <v>207</v>
      </c>
      <c r="H151">
        <v>363</v>
      </c>
      <c r="I151">
        <v>30349</v>
      </c>
      <c r="J151">
        <v>32925</v>
      </c>
      <c r="K151">
        <v>88</v>
      </c>
      <c r="L151" s="4" t="s">
        <v>363</v>
      </c>
      <c r="M151" s="4" t="s">
        <v>37</v>
      </c>
      <c r="N151" s="4" t="s">
        <v>16</v>
      </c>
      <c r="O151" s="33">
        <f t="shared" si="2"/>
        <v>9.4928992718046723E-2</v>
      </c>
      <c r="P151" s="92">
        <f>(_xlfn.XLOOKUP(Table1__3[[#This Row],[Campaign_Name]],Table3[Campaign_Name],Table3[Start_Date]))</f>
        <v>45667</v>
      </c>
      <c r="Q151" s="92">
        <f>(_xlfn.XLOOKUP(Table1__3[[#This Row],[Campaign_Name]],Table3[Campaign_Name],Table3[End_Date]))</f>
        <v>45698</v>
      </c>
      <c r="R151" s="4" t="str">
        <f>IF(Table1__3[[#This Row],[Date]] &lt; Table1__3[[#This Row],[Start_Date]], "Before",
   IF(AND(Table1__3[[#This Row],[Date]] &gt;= Table1__3[[#This Row],[Start_Date]], Table1__3[[#This Row],[Date]] &lt;= Table1__3[[#This Row],[End_Date]]), "During",
   "After"))</f>
        <v>Before</v>
      </c>
      <c r="S151" s="31"/>
      <c r="T151" s="31"/>
    </row>
    <row r="152" spans="1:20">
      <c r="A152" s="4" t="s">
        <v>185</v>
      </c>
      <c r="B152" s="4" t="s">
        <v>13</v>
      </c>
      <c r="C152" s="92">
        <v>45516</v>
      </c>
      <c r="D152" s="4" t="s">
        <v>23</v>
      </c>
      <c r="E152" s="4" t="s">
        <v>15</v>
      </c>
      <c r="F152">
        <v>2962</v>
      </c>
      <c r="G152">
        <v>400</v>
      </c>
      <c r="H152">
        <v>280</v>
      </c>
      <c r="I152">
        <v>52508</v>
      </c>
      <c r="J152">
        <v>58329</v>
      </c>
      <c r="K152">
        <v>219</v>
      </c>
      <c r="L152" s="4" t="s">
        <v>37</v>
      </c>
      <c r="M152" s="4"/>
      <c r="N152" s="4" t="s">
        <v>50</v>
      </c>
      <c r="O152" s="33">
        <f t="shared" si="2"/>
        <v>6.9360859297630834E-2</v>
      </c>
      <c r="P152" s="92">
        <f>(_xlfn.XLOOKUP(Table1__3[[#This Row],[Campaign_Name]],Table3[Campaign_Name],Table3[Start_Date]))</f>
        <v>45627</v>
      </c>
      <c r="Q152" s="92">
        <f>(_xlfn.XLOOKUP(Table1__3[[#This Row],[Campaign_Name]],Table3[Campaign_Name],Table3[End_Date]))</f>
        <v>45657</v>
      </c>
      <c r="R152" s="4" t="str">
        <f>IF(Table1__3[[#This Row],[Date]] &lt; Table1__3[[#This Row],[Start_Date]], "Before",
   IF(AND(Table1__3[[#This Row],[Date]] &gt;= Table1__3[[#This Row],[Start_Date]], Table1__3[[#This Row],[Date]] &lt;= Table1__3[[#This Row],[End_Date]]), "During",
   "After"))</f>
        <v>Before</v>
      </c>
      <c r="S152" s="31"/>
      <c r="T152" s="31"/>
    </row>
    <row r="153" spans="1:20">
      <c r="A153" s="4" t="s">
        <v>186</v>
      </c>
      <c r="B153" s="4" t="s">
        <v>13</v>
      </c>
      <c r="C153" s="92">
        <v>45562</v>
      </c>
      <c r="D153" s="4" t="s">
        <v>14</v>
      </c>
      <c r="E153" s="4" t="s">
        <v>15</v>
      </c>
      <c r="F153">
        <v>3118</v>
      </c>
      <c r="G153">
        <v>116</v>
      </c>
      <c r="H153">
        <v>195</v>
      </c>
      <c r="I153">
        <v>37100</v>
      </c>
      <c r="J153">
        <v>62629</v>
      </c>
      <c r="K153">
        <v>272</v>
      </c>
      <c r="L153" s="4" t="s">
        <v>19</v>
      </c>
      <c r="M153" s="4"/>
      <c r="N153" s="4" t="s">
        <v>20</v>
      </c>
      <c r="O153" s="33">
        <f t="shared" si="2"/>
        <v>9.2425876010781671E-2</v>
      </c>
      <c r="P153" s="92">
        <f>(_xlfn.XLOOKUP(Table1__3[[#This Row],[Campaign_Name]],Table3[Campaign_Name],Table3[Start_Date]))</f>
        <v>45717</v>
      </c>
      <c r="Q153" s="92">
        <f>(_xlfn.XLOOKUP(Table1__3[[#This Row],[Campaign_Name]],Table3[Campaign_Name],Table3[End_Date]))</f>
        <v>45747</v>
      </c>
      <c r="R153" s="4" t="str">
        <f>IF(Table1__3[[#This Row],[Date]] &lt; Table1__3[[#This Row],[Start_Date]], "Before",
   IF(AND(Table1__3[[#This Row],[Date]] &gt;= Table1__3[[#This Row],[Start_Date]], Table1__3[[#This Row],[Date]] &lt;= Table1__3[[#This Row],[End_Date]]), "During",
   "After"))</f>
        <v>Before</v>
      </c>
      <c r="S153" s="31"/>
      <c r="T153" s="31"/>
    </row>
    <row r="154" spans="1:20">
      <c r="A154" s="4" t="s">
        <v>187</v>
      </c>
      <c r="B154" s="4" t="s">
        <v>22</v>
      </c>
      <c r="C154" s="92">
        <v>45819</v>
      </c>
      <c r="D154" s="4" t="s">
        <v>23</v>
      </c>
      <c r="E154" s="4" t="s">
        <v>18</v>
      </c>
      <c r="F154">
        <v>3805</v>
      </c>
      <c r="G154">
        <v>453</v>
      </c>
      <c r="H154">
        <v>63</v>
      </c>
      <c r="I154">
        <v>52395</v>
      </c>
      <c r="J154">
        <v>72934</v>
      </c>
      <c r="K154">
        <v>87</v>
      </c>
      <c r="L154" s="4" t="s">
        <v>19</v>
      </c>
      <c r="M154" s="4" t="s">
        <v>363</v>
      </c>
      <c r="N154" s="4" t="s">
        <v>16</v>
      </c>
      <c r="O154" s="33">
        <f t="shared" si="2"/>
        <v>8.2469701307376658E-2</v>
      </c>
      <c r="P154" s="92">
        <f>(_xlfn.XLOOKUP(Table1__3[[#This Row],[Campaign_Name]],Table3[Campaign_Name],Table3[Start_Date]))</f>
        <v>45667</v>
      </c>
      <c r="Q154" s="92">
        <f>(_xlfn.XLOOKUP(Table1__3[[#This Row],[Campaign_Name]],Table3[Campaign_Name],Table3[End_Date]))</f>
        <v>45698</v>
      </c>
      <c r="R154" s="4" t="str">
        <f>IF(Table1__3[[#This Row],[Date]] &lt; Table1__3[[#This Row],[Start_Date]], "Before",
   IF(AND(Table1__3[[#This Row],[Date]] &gt;= Table1__3[[#This Row],[Start_Date]], Table1__3[[#This Row],[Date]] &lt;= Table1__3[[#This Row],[End_Date]]), "During",
   "After"))</f>
        <v>After</v>
      </c>
      <c r="S154" s="31"/>
      <c r="T154" s="31"/>
    </row>
    <row r="155" spans="1:20">
      <c r="A155" s="4" t="s">
        <v>188</v>
      </c>
      <c r="B155" s="4" t="s">
        <v>13</v>
      </c>
      <c r="C155" s="92">
        <v>45615</v>
      </c>
      <c r="D155" s="4" t="s">
        <v>14</v>
      </c>
      <c r="E155" s="4" t="s">
        <v>31</v>
      </c>
      <c r="F155">
        <v>2525</v>
      </c>
      <c r="G155">
        <v>272</v>
      </c>
      <c r="H155">
        <v>294</v>
      </c>
      <c r="I155">
        <v>51875</v>
      </c>
      <c r="J155">
        <v>24732</v>
      </c>
      <c r="K155">
        <v>92</v>
      </c>
      <c r="L155" s="4" t="s">
        <v>19</v>
      </c>
      <c r="M155" s="4"/>
      <c r="N155" s="4" t="s">
        <v>20</v>
      </c>
      <c r="O155" s="33">
        <f t="shared" si="2"/>
        <v>5.9585542168674697E-2</v>
      </c>
      <c r="P155" s="92">
        <f>(_xlfn.XLOOKUP(Table1__3[[#This Row],[Campaign_Name]],Table3[Campaign_Name],Table3[Start_Date]))</f>
        <v>45717</v>
      </c>
      <c r="Q155" s="92">
        <f>(_xlfn.XLOOKUP(Table1__3[[#This Row],[Campaign_Name]],Table3[Campaign_Name],Table3[End_Date]))</f>
        <v>45747</v>
      </c>
      <c r="R155" s="4" t="str">
        <f>IF(Table1__3[[#This Row],[Date]] &lt; Table1__3[[#This Row],[Start_Date]], "Before",
   IF(AND(Table1__3[[#This Row],[Date]] &gt;= Table1__3[[#This Row],[Start_Date]], Table1__3[[#This Row],[Date]] &lt;= Table1__3[[#This Row],[End_Date]]), "During",
   "After"))</f>
        <v>Before</v>
      </c>
      <c r="S155" s="31"/>
      <c r="T155" s="31"/>
    </row>
    <row r="156" spans="1:20">
      <c r="A156" s="4" t="s">
        <v>189</v>
      </c>
      <c r="B156" s="4" t="s">
        <v>13</v>
      </c>
      <c r="C156" s="92">
        <v>45407</v>
      </c>
      <c r="D156" s="4" t="s">
        <v>14</v>
      </c>
      <c r="E156" s="4" t="s">
        <v>29</v>
      </c>
      <c r="F156">
        <v>3563</v>
      </c>
      <c r="G156">
        <v>483</v>
      </c>
      <c r="H156">
        <v>227</v>
      </c>
      <c r="I156">
        <v>41085</v>
      </c>
      <c r="J156">
        <v>26393</v>
      </c>
      <c r="K156">
        <v>236</v>
      </c>
      <c r="L156" s="4" t="s">
        <v>40</v>
      </c>
      <c r="M156" s="4" t="s">
        <v>37</v>
      </c>
      <c r="N156" s="4" t="s">
        <v>16</v>
      </c>
      <c r="O156" s="33">
        <f t="shared" si="2"/>
        <v>0.10400389436534015</v>
      </c>
      <c r="P156" s="92">
        <f>(_xlfn.XLOOKUP(Table1__3[[#This Row],[Campaign_Name]],Table3[Campaign_Name],Table3[Start_Date]))</f>
        <v>45667</v>
      </c>
      <c r="Q156" s="92">
        <f>(_xlfn.XLOOKUP(Table1__3[[#This Row],[Campaign_Name]],Table3[Campaign_Name],Table3[End_Date]))</f>
        <v>45698</v>
      </c>
      <c r="R156" s="4" t="str">
        <f>IF(Table1__3[[#This Row],[Date]] &lt; Table1__3[[#This Row],[Start_Date]], "Before",
   IF(AND(Table1__3[[#This Row],[Date]] &gt;= Table1__3[[#This Row],[Start_Date]], Table1__3[[#This Row],[Date]] &lt;= Table1__3[[#This Row],[End_Date]]), "During",
   "After"))</f>
        <v>Before</v>
      </c>
      <c r="S156" s="31"/>
      <c r="T156" s="31"/>
    </row>
    <row r="157" spans="1:20">
      <c r="A157" s="4" t="s">
        <v>190</v>
      </c>
      <c r="B157" s="4" t="s">
        <v>28</v>
      </c>
      <c r="C157" s="92">
        <v>45538</v>
      </c>
      <c r="D157" s="4" t="s">
        <v>52</v>
      </c>
      <c r="E157" s="4" t="s">
        <v>31</v>
      </c>
      <c r="F157">
        <v>1437</v>
      </c>
      <c r="G157">
        <v>494</v>
      </c>
      <c r="H157">
        <v>129</v>
      </c>
      <c r="I157">
        <v>53048</v>
      </c>
      <c r="J157">
        <v>44090</v>
      </c>
      <c r="K157">
        <v>230</v>
      </c>
      <c r="L157" s="4" t="s">
        <v>19</v>
      </c>
      <c r="M157" s="4" t="s">
        <v>40</v>
      </c>
      <c r="N157" s="4" t="s">
        <v>53</v>
      </c>
      <c r="O157" s="33">
        <f t="shared" si="2"/>
        <v>3.8832755240536872E-2</v>
      </c>
      <c r="P157" s="92">
        <f>(_xlfn.XLOOKUP(Table1__3[[#This Row],[Campaign_Name]],Table3[Campaign_Name],Table3[Start_Date]))</f>
        <v>45458</v>
      </c>
      <c r="Q157" s="92">
        <f>(_xlfn.XLOOKUP(Table1__3[[#This Row],[Campaign_Name]],Table3[Campaign_Name],Table3[End_Date]))</f>
        <v>45488</v>
      </c>
      <c r="R157" s="4" t="str">
        <f>IF(Table1__3[[#This Row],[Date]] &lt; Table1__3[[#This Row],[Start_Date]], "Before",
   IF(AND(Table1__3[[#This Row],[Date]] &gt;= Table1__3[[#This Row],[Start_Date]], Table1__3[[#This Row],[Date]] &lt;= Table1__3[[#This Row],[End_Date]]), "During",
   "After"))</f>
        <v>After</v>
      </c>
      <c r="S157" s="31"/>
      <c r="T157" s="31"/>
    </row>
    <row r="158" spans="1:20">
      <c r="A158" s="4" t="s">
        <v>191</v>
      </c>
      <c r="B158" s="4" t="s">
        <v>28</v>
      </c>
      <c r="C158" s="92">
        <v>45718</v>
      </c>
      <c r="D158" s="4" t="s">
        <v>14</v>
      </c>
      <c r="E158" s="4" t="s">
        <v>44</v>
      </c>
      <c r="F158">
        <v>4425</v>
      </c>
      <c r="G158">
        <v>185</v>
      </c>
      <c r="H158">
        <v>162</v>
      </c>
      <c r="I158">
        <v>24610</v>
      </c>
      <c r="J158">
        <v>21342</v>
      </c>
      <c r="K158">
        <v>158</v>
      </c>
      <c r="L158" s="4" t="s">
        <v>19</v>
      </c>
      <c r="M158" s="4" t="s">
        <v>364</v>
      </c>
      <c r="N158" s="4" t="s">
        <v>20</v>
      </c>
      <c r="O158" s="33">
        <f t="shared" si="2"/>
        <v>0.19390491670052823</v>
      </c>
      <c r="P158" s="92">
        <f>(_xlfn.XLOOKUP(Table1__3[[#This Row],[Campaign_Name]],Table3[Campaign_Name],Table3[Start_Date]))</f>
        <v>45717</v>
      </c>
      <c r="Q158" s="92">
        <f>(_xlfn.XLOOKUP(Table1__3[[#This Row],[Campaign_Name]],Table3[Campaign_Name],Table3[End_Date]))</f>
        <v>45747</v>
      </c>
      <c r="R158" s="4" t="str">
        <f>IF(Table1__3[[#This Row],[Date]] &lt; Table1__3[[#This Row],[Start_Date]], "Before",
   IF(AND(Table1__3[[#This Row],[Date]] &gt;= Table1__3[[#This Row],[Start_Date]], Table1__3[[#This Row],[Date]] &lt;= Table1__3[[#This Row],[End_Date]]), "During",
   "After"))</f>
        <v>During</v>
      </c>
      <c r="S158" s="31"/>
      <c r="T158" s="31"/>
    </row>
    <row r="159" spans="1:20">
      <c r="A159" s="4" t="s">
        <v>192</v>
      </c>
      <c r="B159" s="4" t="s">
        <v>22</v>
      </c>
      <c r="C159" s="92">
        <v>45737</v>
      </c>
      <c r="D159" s="4" t="s">
        <v>23</v>
      </c>
      <c r="E159" s="4" t="s">
        <v>24</v>
      </c>
      <c r="F159">
        <v>4609</v>
      </c>
      <c r="G159">
        <v>427</v>
      </c>
      <c r="H159">
        <v>395</v>
      </c>
      <c r="I159">
        <v>33698</v>
      </c>
      <c r="J159">
        <v>29259</v>
      </c>
      <c r="K159">
        <v>216</v>
      </c>
      <c r="L159" s="4" t="s">
        <v>19</v>
      </c>
      <c r="M159" s="4" t="s">
        <v>363</v>
      </c>
      <c r="N159" s="4" t="s">
        <v>16</v>
      </c>
      <c r="O159" s="33">
        <f t="shared" si="2"/>
        <v>0.16116683482699271</v>
      </c>
      <c r="P159" s="92">
        <f>(_xlfn.XLOOKUP(Table1__3[[#This Row],[Campaign_Name]],Table3[Campaign_Name],Table3[Start_Date]))</f>
        <v>45667</v>
      </c>
      <c r="Q159" s="92">
        <f>(_xlfn.XLOOKUP(Table1__3[[#This Row],[Campaign_Name]],Table3[Campaign_Name],Table3[End_Date]))</f>
        <v>45698</v>
      </c>
      <c r="R159" s="4" t="str">
        <f>IF(Table1__3[[#This Row],[Date]] &lt; Table1__3[[#This Row],[Start_Date]], "Before",
   IF(AND(Table1__3[[#This Row],[Date]] &gt;= Table1__3[[#This Row],[Start_Date]], Table1__3[[#This Row],[Date]] &lt;= Table1__3[[#This Row],[End_Date]]), "During",
   "After"))</f>
        <v>After</v>
      </c>
      <c r="S159" s="31"/>
      <c r="T159" s="31"/>
    </row>
    <row r="160" spans="1:20">
      <c r="A160" s="4" t="s">
        <v>193</v>
      </c>
      <c r="B160" s="4" t="s">
        <v>13</v>
      </c>
      <c r="C160" s="92">
        <v>45394</v>
      </c>
      <c r="D160" s="4" t="s">
        <v>23</v>
      </c>
      <c r="E160" s="4" t="s">
        <v>33</v>
      </c>
      <c r="F160">
        <v>1558</v>
      </c>
      <c r="G160">
        <v>352</v>
      </c>
      <c r="H160">
        <v>202</v>
      </c>
      <c r="I160">
        <v>25405</v>
      </c>
      <c r="J160">
        <v>69941</v>
      </c>
      <c r="K160">
        <v>219</v>
      </c>
      <c r="L160" s="4" t="s">
        <v>37</v>
      </c>
      <c r="M160" s="4"/>
      <c r="N160" s="4" t="s">
        <v>50</v>
      </c>
      <c r="O160" s="33">
        <f t="shared" si="2"/>
        <v>8.3133241487896081E-2</v>
      </c>
      <c r="P160" s="92">
        <f>(_xlfn.XLOOKUP(Table1__3[[#This Row],[Campaign_Name]],Table3[Campaign_Name],Table3[Start_Date]))</f>
        <v>45627</v>
      </c>
      <c r="Q160" s="92">
        <f>(_xlfn.XLOOKUP(Table1__3[[#This Row],[Campaign_Name]],Table3[Campaign_Name],Table3[End_Date]))</f>
        <v>45657</v>
      </c>
      <c r="R160" s="4" t="str">
        <f>IF(Table1__3[[#This Row],[Date]] &lt; Table1__3[[#This Row],[Start_Date]], "Before",
   IF(AND(Table1__3[[#This Row],[Date]] &gt;= Table1__3[[#This Row],[Start_Date]], Table1__3[[#This Row],[Date]] &lt;= Table1__3[[#This Row],[End_Date]]), "During",
   "After"))</f>
        <v>Before</v>
      </c>
      <c r="S160" s="31"/>
      <c r="T160" s="31"/>
    </row>
    <row r="161" spans="1:20">
      <c r="A161" s="4" t="s">
        <v>194</v>
      </c>
      <c r="B161" s="4" t="s">
        <v>28</v>
      </c>
      <c r="C161" s="92">
        <v>45330</v>
      </c>
      <c r="D161" s="4" t="s">
        <v>52</v>
      </c>
      <c r="E161" s="4" t="s">
        <v>36</v>
      </c>
      <c r="F161">
        <v>1889</v>
      </c>
      <c r="G161">
        <v>298</v>
      </c>
      <c r="H161">
        <v>122</v>
      </c>
      <c r="I161">
        <v>46225</v>
      </c>
      <c r="J161">
        <v>74305</v>
      </c>
      <c r="K161">
        <v>293</v>
      </c>
      <c r="L161" s="4" t="s">
        <v>19</v>
      </c>
      <c r="M161" s="4" t="s">
        <v>40</v>
      </c>
      <c r="N161" s="4" t="s">
        <v>53</v>
      </c>
      <c r="O161" s="33">
        <f t="shared" si="2"/>
        <v>4.9951325040562468E-2</v>
      </c>
      <c r="P161" s="92">
        <f>(_xlfn.XLOOKUP(Table1__3[[#This Row],[Campaign_Name]],Table3[Campaign_Name],Table3[Start_Date]))</f>
        <v>45458</v>
      </c>
      <c r="Q161" s="92">
        <f>(_xlfn.XLOOKUP(Table1__3[[#This Row],[Campaign_Name]],Table3[Campaign_Name],Table3[End_Date]))</f>
        <v>45488</v>
      </c>
      <c r="R161" s="4" t="str">
        <f>IF(Table1__3[[#This Row],[Date]] &lt; Table1__3[[#This Row],[Start_Date]], "Before",
   IF(AND(Table1__3[[#This Row],[Date]] &gt;= Table1__3[[#This Row],[Start_Date]], Table1__3[[#This Row],[Date]] &lt;= Table1__3[[#This Row],[End_Date]]), "During",
   "After"))</f>
        <v>Before</v>
      </c>
      <c r="S161" s="31"/>
      <c r="T161" s="31"/>
    </row>
    <row r="162" spans="1:20">
      <c r="A162" s="4" t="s">
        <v>195</v>
      </c>
      <c r="B162" s="4" t="s">
        <v>13</v>
      </c>
      <c r="C162" s="92">
        <v>45803</v>
      </c>
      <c r="D162" s="4" t="s">
        <v>14</v>
      </c>
      <c r="E162" s="4" t="s">
        <v>15</v>
      </c>
      <c r="F162">
        <v>3086</v>
      </c>
      <c r="G162">
        <v>148</v>
      </c>
      <c r="H162">
        <v>310</v>
      </c>
      <c r="I162">
        <v>22824</v>
      </c>
      <c r="J162">
        <v>58103</v>
      </c>
      <c r="K162">
        <v>275</v>
      </c>
      <c r="L162" s="4" t="s">
        <v>19</v>
      </c>
      <c r="M162" s="4"/>
      <c r="N162" s="4" t="s">
        <v>20</v>
      </c>
      <c r="O162" s="33">
        <f t="shared" si="2"/>
        <v>0.1552751489660007</v>
      </c>
      <c r="P162" s="92">
        <f>(_xlfn.XLOOKUP(Table1__3[[#This Row],[Campaign_Name]],Table3[Campaign_Name],Table3[Start_Date]))</f>
        <v>45717</v>
      </c>
      <c r="Q162" s="92">
        <f>(_xlfn.XLOOKUP(Table1__3[[#This Row],[Campaign_Name]],Table3[Campaign_Name],Table3[End_Date]))</f>
        <v>45747</v>
      </c>
      <c r="R162" s="4" t="str">
        <f>IF(Table1__3[[#This Row],[Date]] &lt; Table1__3[[#This Row],[Start_Date]], "Before",
   IF(AND(Table1__3[[#This Row],[Date]] &gt;= Table1__3[[#This Row],[Start_Date]], Table1__3[[#This Row],[Date]] &lt;= Table1__3[[#This Row],[End_Date]]), "During",
   "After"))</f>
        <v>After</v>
      </c>
      <c r="S162" s="31"/>
      <c r="T162" s="31"/>
    </row>
    <row r="163" spans="1:20">
      <c r="A163" s="4" t="s">
        <v>196</v>
      </c>
      <c r="B163" s="4" t="s">
        <v>13</v>
      </c>
      <c r="C163" s="92">
        <v>45610</v>
      </c>
      <c r="D163" s="4" t="s">
        <v>14</v>
      </c>
      <c r="E163" s="4" t="s">
        <v>29</v>
      </c>
      <c r="F163">
        <v>2422</v>
      </c>
      <c r="G163">
        <v>318</v>
      </c>
      <c r="H163">
        <v>118</v>
      </c>
      <c r="I163">
        <v>25386</v>
      </c>
      <c r="J163">
        <v>20873</v>
      </c>
      <c r="K163">
        <v>100</v>
      </c>
      <c r="L163" s="4" t="s">
        <v>40</v>
      </c>
      <c r="M163" s="4" t="s">
        <v>37</v>
      </c>
      <c r="N163" s="4" t="s">
        <v>16</v>
      </c>
      <c r="O163" s="33">
        <f t="shared" si="2"/>
        <v>0.11258173796580792</v>
      </c>
      <c r="P163" s="92">
        <f>(_xlfn.XLOOKUP(Table1__3[[#This Row],[Campaign_Name]],Table3[Campaign_Name],Table3[Start_Date]))</f>
        <v>45667</v>
      </c>
      <c r="Q163" s="92">
        <f>(_xlfn.XLOOKUP(Table1__3[[#This Row],[Campaign_Name]],Table3[Campaign_Name],Table3[End_Date]))</f>
        <v>45698</v>
      </c>
      <c r="R163" s="4" t="str">
        <f>IF(Table1__3[[#This Row],[Date]] &lt; Table1__3[[#This Row],[Start_Date]], "Before",
   IF(AND(Table1__3[[#This Row],[Date]] &gt;= Table1__3[[#This Row],[Start_Date]], Table1__3[[#This Row],[Date]] &lt;= Table1__3[[#This Row],[End_Date]]), "During",
   "After"))</f>
        <v>Before</v>
      </c>
      <c r="S163" s="31"/>
      <c r="T163" s="31"/>
    </row>
    <row r="164" spans="1:20">
      <c r="A164" s="4" t="s">
        <v>197</v>
      </c>
      <c r="B164" s="4" t="s">
        <v>28</v>
      </c>
      <c r="C164" s="92">
        <v>45513</v>
      </c>
      <c r="D164" s="4" t="s">
        <v>52</v>
      </c>
      <c r="E164" s="4" t="s">
        <v>44</v>
      </c>
      <c r="F164">
        <v>3414</v>
      </c>
      <c r="G164">
        <v>154</v>
      </c>
      <c r="H164">
        <v>204</v>
      </c>
      <c r="I164">
        <v>34146</v>
      </c>
      <c r="J164">
        <v>44633</v>
      </c>
      <c r="K164">
        <v>256</v>
      </c>
      <c r="L164" s="4" t="s">
        <v>19</v>
      </c>
      <c r="M164" s="4" t="s">
        <v>40</v>
      </c>
      <c r="N164" s="4" t="s">
        <v>53</v>
      </c>
      <c r="O164" s="33">
        <f t="shared" si="2"/>
        <v>0.11046681895390383</v>
      </c>
      <c r="P164" s="92">
        <f>(_xlfn.XLOOKUP(Table1__3[[#This Row],[Campaign_Name]],Table3[Campaign_Name],Table3[Start_Date]))</f>
        <v>45458</v>
      </c>
      <c r="Q164" s="92">
        <f>(_xlfn.XLOOKUP(Table1__3[[#This Row],[Campaign_Name]],Table3[Campaign_Name],Table3[End_Date]))</f>
        <v>45488</v>
      </c>
      <c r="R164" s="4" t="str">
        <f>IF(Table1__3[[#This Row],[Date]] &lt; Table1__3[[#This Row],[Start_Date]], "Before",
   IF(AND(Table1__3[[#This Row],[Date]] &gt;= Table1__3[[#This Row],[Start_Date]], Table1__3[[#This Row],[Date]] &lt;= Table1__3[[#This Row],[End_Date]]), "During",
   "After"))</f>
        <v>After</v>
      </c>
      <c r="S164" s="31"/>
      <c r="T164" s="31"/>
    </row>
    <row r="165" spans="1:20">
      <c r="A165" s="4" t="s">
        <v>198</v>
      </c>
      <c r="B165" s="4" t="s">
        <v>13</v>
      </c>
      <c r="C165" s="92">
        <v>45835</v>
      </c>
      <c r="D165" s="4" t="s">
        <v>23</v>
      </c>
      <c r="E165" s="4" t="s">
        <v>31</v>
      </c>
      <c r="F165">
        <v>1342</v>
      </c>
      <c r="G165">
        <v>332</v>
      </c>
      <c r="H165">
        <v>163</v>
      </c>
      <c r="I165">
        <v>51712</v>
      </c>
      <c r="J165">
        <v>57922</v>
      </c>
      <c r="K165">
        <v>168</v>
      </c>
      <c r="L165" s="4" t="s">
        <v>37</v>
      </c>
      <c r="M165" s="4"/>
      <c r="N165" s="4" t="s">
        <v>50</v>
      </c>
      <c r="O165" s="33">
        <f t="shared" si="2"/>
        <v>3.5523669554455448E-2</v>
      </c>
      <c r="P165" s="92">
        <f>(_xlfn.XLOOKUP(Table1__3[[#This Row],[Campaign_Name]],Table3[Campaign_Name],Table3[Start_Date]))</f>
        <v>45627</v>
      </c>
      <c r="Q165" s="92">
        <f>(_xlfn.XLOOKUP(Table1__3[[#This Row],[Campaign_Name]],Table3[Campaign_Name],Table3[End_Date]))</f>
        <v>45657</v>
      </c>
      <c r="R165" s="4" t="str">
        <f>IF(Table1__3[[#This Row],[Date]] &lt; Table1__3[[#This Row],[Start_Date]], "Before",
   IF(AND(Table1__3[[#This Row],[Date]] &gt;= Table1__3[[#This Row],[Start_Date]], Table1__3[[#This Row],[Date]] &lt;= Table1__3[[#This Row],[End_Date]]), "During",
   "After"))</f>
        <v>After</v>
      </c>
      <c r="S165" s="31"/>
      <c r="T165" s="31"/>
    </row>
    <row r="166" spans="1:20">
      <c r="A166" s="4" t="s">
        <v>199</v>
      </c>
      <c r="B166" s="4" t="s">
        <v>13</v>
      </c>
      <c r="C166" s="92">
        <v>45420</v>
      </c>
      <c r="D166" s="4" t="s">
        <v>23</v>
      </c>
      <c r="E166" s="4" t="s">
        <v>29</v>
      </c>
      <c r="F166">
        <v>2414</v>
      </c>
      <c r="G166">
        <v>220</v>
      </c>
      <c r="H166">
        <v>280</v>
      </c>
      <c r="I166">
        <v>27355</v>
      </c>
      <c r="J166">
        <v>50562</v>
      </c>
      <c r="K166">
        <v>258</v>
      </c>
      <c r="L166" s="4" t="s">
        <v>37</v>
      </c>
      <c r="M166" s="4"/>
      <c r="N166" s="4" t="s">
        <v>50</v>
      </c>
      <c r="O166" s="33">
        <f t="shared" si="2"/>
        <v>0.10652531529884847</v>
      </c>
      <c r="P166" s="92">
        <f>(_xlfn.XLOOKUP(Table1__3[[#This Row],[Campaign_Name]],Table3[Campaign_Name],Table3[Start_Date]))</f>
        <v>45627</v>
      </c>
      <c r="Q166" s="92">
        <f>(_xlfn.XLOOKUP(Table1__3[[#This Row],[Campaign_Name]],Table3[Campaign_Name],Table3[End_Date]))</f>
        <v>45657</v>
      </c>
      <c r="R166" s="4" t="str">
        <f>IF(Table1__3[[#This Row],[Date]] &lt; Table1__3[[#This Row],[Start_Date]], "Before",
   IF(AND(Table1__3[[#This Row],[Date]] &gt;= Table1__3[[#This Row],[Start_Date]], Table1__3[[#This Row],[Date]] &lt;= Table1__3[[#This Row],[End_Date]]), "During",
   "After"))</f>
        <v>Before</v>
      </c>
      <c r="S166" s="31"/>
      <c r="T166" s="31"/>
    </row>
    <row r="167" spans="1:20">
      <c r="A167" s="4" t="s">
        <v>200</v>
      </c>
      <c r="B167" s="4" t="s">
        <v>13</v>
      </c>
      <c r="C167" s="92">
        <v>45387</v>
      </c>
      <c r="D167" s="4" t="s">
        <v>14</v>
      </c>
      <c r="E167" s="4" t="s">
        <v>24</v>
      </c>
      <c r="F167">
        <v>4383</v>
      </c>
      <c r="G167">
        <v>352</v>
      </c>
      <c r="H167">
        <v>176</v>
      </c>
      <c r="I167">
        <v>53239</v>
      </c>
      <c r="J167">
        <v>34168</v>
      </c>
      <c r="K167">
        <v>288</v>
      </c>
      <c r="L167" s="4" t="s">
        <v>19</v>
      </c>
      <c r="M167" s="4"/>
      <c r="N167" s="4" t="s">
        <v>20</v>
      </c>
      <c r="O167" s="33">
        <f t="shared" si="2"/>
        <v>9.2244407295403744E-2</v>
      </c>
      <c r="P167" s="92">
        <f>(_xlfn.XLOOKUP(Table1__3[[#This Row],[Campaign_Name]],Table3[Campaign_Name],Table3[Start_Date]))</f>
        <v>45717</v>
      </c>
      <c r="Q167" s="92">
        <f>(_xlfn.XLOOKUP(Table1__3[[#This Row],[Campaign_Name]],Table3[Campaign_Name],Table3[End_Date]))</f>
        <v>45747</v>
      </c>
      <c r="R167" s="4" t="str">
        <f>IF(Table1__3[[#This Row],[Date]] &lt; Table1__3[[#This Row],[Start_Date]], "Before",
   IF(AND(Table1__3[[#This Row],[Date]] &gt;= Table1__3[[#This Row],[Start_Date]], Table1__3[[#This Row],[Date]] &lt;= Table1__3[[#This Row],[End_Date]]), "During",
   "After"))</f>
        <v>Before</v>
      </c>
      <c r="S167" s="31"/>
      <c r="T167" s="31"/>
    </row>
    <row r="168" spans="1:20">
      <c r="A168" s="4" t="s">
        <v>201</v>
      </c>
      <c r="B168" s="4" t="s">
        <v>28</v>
      </c>
      <c r="C168" s="92">
        <v>45684</v>
      </c>
      <c r="D168" s="4" t="s">
        <v>14</v>
      </c>
      <c r="E168" s="4" t="s">
        <v>26</v>
      </c>
      <c r="F168">
        <v>4294</v>
      </c>
      <c r="G168">
        <v>423</v>
      </c>
      <c r="H168">
        <v>93</v>
      </c>
      <c r="I168">
        <v>29828</v>
      </c>
      <c r="J168">
        <v>73144</v>
      </c>
      <c r="K168">
        <v>298</v>
      </c>
      <c r="L168" s="4" t="s">
        <v>19</v>
      </c>
      <c r="M168" s="4" t="s">
        <v>364</v>
      </c>
      <c r="N168" s="4" t="s">
        <v>20</v>
      </c>
      <c r="O168" s="33">
        <f t="shared" si="2"/>
        <v>0.1612578785034196</v>
      </c>
      <c r="P168" s="92">
        <f>(_xlfn.XLOOKUP(Table1__3[[#This Row],[Campaign_Name]],Table3[Campaign_Name],Table3[Start_Date]))</f>
        <v>45717</v>
      </c>
      <c r="Q168" s="92">
        <f>(_xlfn.XLOOKUP(Table1__3[[#This Row],[Campaign_Name]],Table3[Campaign_Name],Table3[End_Date]))</f>
        <v>45747</v>
      </c>
      <c r="R168" s="4" t="str">
        <f>IF(Table1__3[[#This Row],[Date]] &lt; Table1__3[[#This Row],[Start_Date]], "Before",
   IF(AND(Table1__3[[#This Row],[Date]] &gt;= Table1__3[[#This Row],[Start_Date]], Table1__3[[#This Row],[Date]] &lt;= Table1__3[[#This Row],[End_Date]]), "During",
   "After"))</f>
        <v>Before</v>
      </c>
      <c r="S168" s="31"/>
      <c r="T168" s="31"/>
    </row>
    <row r="169" spans="1:20">
      <c r="A169" s="4" t="s">
        <v>202</v>
      </c>
      <c r="B169" s="4" t="s">
        <v>13</v>
      </c>
      <c r="C169" s="92">
        <v>45385</v>
      </c>
      <c r="D169" s="4" t="s">
        <v>14</v>
      </c>
      <c r="E169" s="4" t="s">
        <v>36</v>
      </c>
      <c r="F169">
        <v>2762</v>
      </c>
      <c r="G169">
        <v>339</v>
      </c>
      <c r="H169">
        <v>323</v>
      </c>
      <c r="I169">
        <v>33757</v>
      </c>
      <c r="J169">
        <v>68511</v>
      </c>
      <c r="K169">
        <v>121</v>
      </c>
      <c r="L169" s="4" t="s">
        <v>40</v>
      </c>
      <c r="M169" s="4" t="s">
        <v>37</v>
      </c>
      <c r="N169" s="4" t="s">
        <v>16</v>
      </c>
      <c r="O169" s="33">
        <f t="shared" si="2"/>
        <v>0.10143081434961637</v>
      </c>
      <c r="P169" s="92">
        <f>(_xlfn.XLOOKUP(Table1__3[[#This Row],[Campaign_Name]],Table3[Campaign_Name],Table3[Start_Date]))</f>
        <v>45667</v>
      </c>
      <c r="Q169" s="92">
        <f>(_xlfn.XLOOKUP(Table1__3[[#This Row],[Campaign_Name]],Table3[Campaign_Name],Table3[End_Date]))</f>
        <v>45698</v>
      </c>
      <c r="R169" s="4" t="str">
        <f>IF(Table1__3[[#This Row],[Date]] &lt; Table1__3[[#This Row],[Start_Date]], "Before",
   IF(AND(Table1__3[[#This Row],[Date]] &gt;= Table1__3[[#This Row],[Start_Date]], Table1__3[[#This Row],[Date]] &lt;= Table1__3[[#This Row],[End_Date]]), "During",
   "After"))</f>
        <v>Before</v>
      </c>
      <c r="S169" s="31"/>
      <c r="T169" s="31"/>
    </row>
    <row r="170" spans="1:20">
      <c r="A170" s="4" t="s">
        <v>203</v>
      </c>
      <c r="B170" s="4" t="s">
        <v>28</v>
      </c>
      <c r="C170" s="92">
        <v>45660</v>
      </c>
      <c r="D170" s="4" t="s">
        <v>14</v>
      </c>
      <c r="E170" s="4" t="s">
        <v>24</v>
      </c>
      <c r="F170">
        <v>3782</v>
      </c>
      <c r="G170">
        <v>484</v>
      </c>
      <c r="H170">
        <v>144</v>
      </c>
      <c r="I170">
        <v>52172</v>
      </c>
      <c r="J170">
        <v>59386</v>
      </c>
      <c r="K170">
        <v>175</v>
      </c>
      <c r="L170" s="4" t="s">
        <v>19</v>
      </c>
      <c r="M170" s="4" t="s">
        <v>364</v>
      </c>
      <c r="N170" s="4" t="s">
        <v>20</v>
      </c>
      <c r="O170" s="33">
        <f t="shared" si="2"/>
        <v>8.4528099363643333E-2</v>
      </c>
      <c r="P170" s="92">
        <f>(_xlfn.XLOOKUP(Table1__3[[#This Row],[Campaign_Name]],Table3[Campaign_Name],Table3[Start_Date]))</f>
        <v>45717</v>
      </c>
      <c r="Q170" s="92">
        <f>(_xlfn.XLOOKUP(Table1__3[[#This Row],[Campaign_Name]],Table3[Campaign_Name],Table3[End_Date]))</f>
        <v>45747</v>
      </c>
      <c r="R170" s="4" t="str">
        <f>IF(Table1__3[[#This Row],[Date]] &lt; Table1__3[[#This Row],[Start_Date]], "Before",
   IF(AND(Table1__3[[#This Row],[Date]] &gt;= Table1__3[[#This Row],[Start_Date]], Table1__3[[#This Row],[Date]] &lt;= Table1__3[[#This Row],[End_Date]]), "During",
   "After"))</f>
        <v>Before</v>
      </c>
      <c r="S170" s="31"/>
      <c r="T170" s="31"/>
    </row>
    <row r="171" spans="1:20">
      <c r="A171" s="4" t="s">
        <v>204</v>
      </c>
      <c r="B171" s="4" t="s">
        <v>22</v>
      </c>
      <c r="C171" s="92">
        <v>45619</v>
      </c>
      <c r="D171" s="4" t="s">
        <v>14</v>
      </c>
      <c r="E171" s="4" t="s">
        <v>24</v>
      </c>
      <c r="F171">
        <v>4318</v>
      </c>
      <c r="G171">
        <v>371</v>
      </c>
      <c r="H171">
        <v>329</v>
      </c>
      <c r="I171">
        <v>32347</v>
      </c>
      <c r="J171">
        <v>68956</v>
      </c>
      <c r="K171">
        <v>259</v>
      </c>
      <c r="L171" s="4" t="s">
        <v>40</v>
      </c>
      <c r="M171" s="4"/>
      <c r="N171" s="4" t="s">
        <v>20</v>
      </c>
      <c r="O171" s="33">
        <f t="shared" si="2"/>
        <v>0.15513030574705536</v>
      </c>
      <c r="P171" s="92">
        <f>(_xlfn.XLOOKUP(Table1__3[[#This Row],[Campaign_Name]],Table3[Campaign_Name],Table3[Start_Date]))</f>
        <v>45717</v>
      </c>
      <c r="Q171" s="92">
        <f>(_xlfn.XLOOKUP(Table1__3[[#This Row],[Campaign_Name]],Table3[Campaign_Name],Table3[End_Date]))</f>
        <v>45747</v>
      </c>
      <c r="R171" s="4" t="str">
        <f>IF(Table1__3[[#This Row],[Date]] &lt; Table1__3[[#This Row],[Start_Date]], "Before",
   IF(AND(Table1__3[[#This Row],[Date]] &gt;= Table1__3[[#This Row],[Start_Date]], Table1__3[[#This Row],[Date]] &lt;= Table1__3[[#This Row],[End_Date]]), "During",
   "After"))</f>
        <v>Before</v>
      </c>
      <c r="S171" s="31"/>
      <c r="T171" s="31"/>
    </row>
    <row r="172" spans="1:20">
      <c r="A172" s="4" t="s">
        <v>205</v>
      </c>
      <c r="B172" s="4" t="s">
        <v>13</v>
      </c>
      <c r="C172" s="92">
        <v>45536</v>
      </c>
      <c r="D172" s="4" t="s">
        <v>23</v>
      </c>
      <c r="E172" s="4" t="s">
        <v>26</v>
      </c>
      <c r="F172">
        <v>2335</v>
      </c>
      <c r="G172">
        <v>150</v>
      </c>
      <c r="H172">
        <v>75</v>
      </c>
      <c r="I172">
        <v>26114</v>
      </c>
      <c r="J172">
        <v>57549</v>
      </c>
      <c r="K172">
        <v>135</v>
      </c>
      <c r="L172" s="4" t="s">
        <v>37</v>
      </c>
      <c r="M172" s="4"/>
      <c r="N172" s="4" t="s">
        <v>50</v>
      </c>
      <c r="O172" s="33">
        <f t="shared" si="2"/>
        <v>9.8031707130274953E-2</v>
      </c>
      <c r="P172" s="92">
        <f>(_xlfn.XLOOKUP(Table1__3[[#This Row],[Campaign_Name]],Table3[Campaign_Name],Table3[Start_Date]))</f>
        <v>45627</v>
      </c>
      <c r="Q172" s="92">
        <f>(_xlfn.XLOOKUP(Table1__3[[#This Row],[Campaign_Name]],Table3[Campaign_Name],Table3[End_Date]))</f>
        <v>45657</v>
      </c>
      <c r="R172" s="4" t="str">
        <f>IF(Table1__3[[#This Row],[Date]] &lt; Table1__3[[#This Row],[Start_Date]], "Before",
   IF(AND(Table1__3[[#This Row],[Date]] &gt;= Table1__3[[#This Row],[Start_Date]], Table1__3[[#This Row],[Date]] &lt;= Table1__3[[#This Row],[End_Date]]), "During",
   "After"))</f>
        <v>Before</v>
      </c>
      <c r="S172" s="31"/>
      <c r="T172" s="31"/>
    </row>
    <row r="173" spans="1:20">
      <c r="A173" s="4" t="s">
        <v>206</v>
      </c>
      <c r="B173" s="4" t="s">
        <v>28</v>
      </c>
      <c r="C173" s="92">
        <v>45400</v>
      </c>
      <c r="D173" s="4" t="s">
        <v>14</v>
      </c>
      <c r="E173" s="4" t="s">
        <v>18</v>
      </c>
      <c r="F173">
        <v>4023</v>
      </c>
      <c r="G173">
        <v>293</v>
      </c>
      <c r="H173">
        <v>91</v>
      </c>
      <c r="I173">
        <v>26795</v>
      </c>
      <c r="J173">
        <v>28924</v>
      </c>
      <c r="K173">
        <v>278</v>
      </c>
      <c r="L173" s="4" t="s">
        <v>19</v>
      </c>
      <c r="M173" s="4" t="s">
        <v>364</v>
      </c>
      <c r="N173" s="4" t="s">
        <v>20</v>
      </c>
      <c r="O173" s="33">
        <f t="shared" si="2"/>
        <v>0.16447098339242397</v>
      </c>
      <c r="P173" s="92">
        <f>(_xlfn.XLOOKUP(Table1__3[[#This Row],[Campaign_Name]],Table3[Campaign_Name],Table3[Start_Date]))</f>
        <v>45717</v>
      </c>
      <c r="Q173" s="92">
        <f>(_xlfn.XLOOKUP(Table1__3[[#This Row],[Campaign_Name]],Table3[Campaign_Name],Table3[End_Date]))</f>
        <v>45747</v>
      </c>
      <c r="R173" s="4" t="str">
        <f>IF(Table1__3[[#This Row],[Date]] &lt; Table1__3[[#This Row],[Start_Date]], "Before",
   IF(AND(Table1__3[[#This Row],[Date]] &gt;= Table1__3[[#This Row],[Start_Date]], Table1__3[[#This Row],[Date]] &lt;= Table1__3[[#This Row],[End_Date]]), "During",
   "After"))</f>
        <v>Before</v>
      </c>
      <c r="S173" s="31"/>
      <c r="T173" s="31"/>
    </row>
    <row r="174" spans="1:20">
      <c r="A174" s="4" t="s">
        <v>207</v>
      </c>
      <c r="B174" s="4" t="s">
        <v>13</v>
      </c>
      <c r="C174" s="92">
        <v>45447</v>
      </c>
      <c r="D174" s="4" t="s">
        <v>14</v>
      </c>
      <c r="E174" s="4" t="s">
        <v>33</v>
      </c>
      <c r="F174">
        <v>3948</v>
      </c>
      <c r="G174">
        <v>151</v>
      </c>
      <c r="H174">
        <v>249</v>
      </c>
      <c r="I174">
        <v>43147</v>
      </c>
      <c r="J174">
        <v>63136</v>
      </c>
      <c r="K174">
        <v>230</v>
      </c>
      <c r="L174" s="4" t="s">
        <v>19</v>
      </c>
      <c r="M174" s="4"/>
      <c r="N174" s="4" t="s">
        <v>20</v>
      </c>
      <c r="O174" s="33">
        <f t="shared" si="2"/>
        <v>0.10077178019329269</v>
      </c>
      <c r="P174" s="92">
        <f>(_xlfn.XLOOKUP(Table1__3[[#This Row],[Campaign_Name]],Table3[Campaign_Name],Table3[Start_Date]))</f>
        <v>45717</v>
      </c>
      <c r="Q174" s="92">
        <f>(_xlfn.XLOOKUP(Table1__3[[#This Row],[Campaign_Name]],Table3[Campaign_Name],Table3[End_Date]))</f>
        <v>45747</v>
      </c>
      <c r="R174" s="4" t="str">
        <f>IF(Table1__3[[#This Row],[Date]] &lt; Table1__3[[#This Row],[Start_Date]], "Before",
   IF(AND(Table1__3[[#This Row],[Date]] &gt;= Table1__3[[#This Row],[Start_Date]], Table1__3[[#This Row],[Date]] &lt;= Table1__3[[#This Row],[End_Date]]), "During",
   "After"))</f>
        <v>Before</v>
      </c>
      <c r="S174" s="31"/>
      <c r="T174" s="31"/>
    </row>
    <row r="175" spans="1:20">
      <c r="A175" s="4" t="s">
        <v>208</v>
      </c>
      <c r="B175" s="4" t="s">
        <v>28</v>
      </c>
      <c r="C175" s="92">
        <v>45749</v>
      </c>
      <c r="D175" s="4" t="s">
        <v>14</v>
      </c>
      <c r="E175" s="4" t="s">
        <v>26</v>
      </c>
      <c r="F175">
        <v>4598</v>
      </c>
      <c r="G175">
        <v>455</v>
      </c>
      <c r="H175">
        <v>378</v>
      </c>
      <c r="I175">
        <v>52952</v>
      </c>
      <c r="J175">
        <v>58504</v>
      </c>
      <c r="K175">
        <v>269</v>
      </c>
      <c r="L175" s="4" t="s">
        <v>19</v>
      </c>
      <c r="M175" s="4" t="s">
        <v>364</v>
      </c>
      <c r="N175" s="4" t="s">
        <v>20</v>
      </c>
      <c r="O175" s="33">
        <f t="shared" si="2"/>
        <v>0.10256458679558846</v>
      </c>
      <c r="P175" s="92">
        <f>(_xlfn.XLOOKUP(Table1__3[[#This Row],[Campaign_Name]],Table3[Campaign_Name],Table3[Start_Date]))</f>
        <v>45717</v>
      </c>
      <c r="Q175" s="92">
        <f>(_xlfn.XLOOKUP(Table1__3[[#This Row],[Campaign_Name]],Table3[Campaign_Name],Table3[End_Date]))</f>
        <v>45747</v>
      </c>
      <c r="R175" s="4" t="str">
        <f>IF(Table1__3[[#This Row],[Date]] &lt; Table1__3[[#This Row],[Start_Date]], "Before",
   IF(AND(Table1__3[[#This Row],[Date]] &gt;= Table1__3[[#This Row],[Start_Date]], Table1__3[[#This Row],[Date]] &lt;= Table1__3[[#This Row],[End_Date]]), "During",
   "After"))</f>
        <v>After</v>
      </c>
      <c r="S175" s="31"/>
      <c r="T175" s="31"/>
    </row>
    <row r="176" spans="1:20">
      <c r="A176" s="4" t="s">
        <v>209</v>
      </c>
      <c r="B176" s="4" t="s">
        <v>22</v>
      </c>
      <c r="C176" s="92">
        <v>45748</v>
      </c>
      <c r="D176" s="4" t="s">
        <v>23</v>
      </c>
      <c r="E176" s="4" t="s">
        <v>29</v>
      </c>
      <c r="F176">
        <v>2665</v>
      </c>
      <c r="G176">
        <v>143</v>
      </c>
      <c r="H176">
        <v>315</v>
      </c>
      <c r="I176">
        <v>54808</v>
      </c>
      <c r="J176">
        <v>29818</v>
      </c>
      <c r="K176">
        <v>98</v>
      </c>
      <c r="L176" s="4" t="s">
        <v>19</v>
      </c>
      <c r="M176" s="4" t="s">
        <v>363</v>
      </c>
      <c r="N176" s="4" t="s">
        <v>16</v>
      </c>
      <c r="O176" s="33">
        <f t="shared" si="2"/>
        <v>5.6980732739746021E-2</v>
      </c>
      <c r="P176" s="92">
        <f>(_xlfn.XLOOKUP(Table1__3[[#This Row],[Campaign_Name]],Table3[Campaign_Name],Table3[Start_Date]))</f>
        <v>45667</v>
      </c>
      <c r="Q176" s="92">
        <f>(_xlfn.XLOOKUP(Table1__3[[#This Row],[Campaign_Name]],Table3[Campaign_Name],Table3[End_Date]))</f>
        <v>45698</v>
      </c>
      <c r="R176" s="4" t="str">
        <f>IF(Table1__3[[#This Row],[Date]] &lt; Table1__3[[#This Row],[Start_Date]], "Before",
   IF(AND(Table1__3[[#This Row],[Date]] &gt;= Table1__3[[#This Row],[Start_Date]], Table1__3[[#This Row],[Date]] &lt;= Table1__3[[#This Row],[End_Date]]), "During",
   "After"))</f>
        <v>After</v>
      </c>
      <c r="S176" s="31"/>
      <c r="T176" s="31"/>
    </row>
    <row r="177" spans="1:20">
      <c r="A177" s="4" t="s">
        <v>210</v>
      </c>
      <c r="B177" s="4" t="s">
        <v>13</v>
      </c>
      <c r="C177" s="92">
        <v>45475</v>
      </c>
      <c r="D177" s="4" t="s">
        <v>14</v>
      </c>
      <c r="E177" s="4" t="s">
        <v>36</v>
      </c>
      <c r="F177">
        <v>3469</v>
      </c>
      <c r="G177">
        <v>371</v>
      </c>
      <c r="H177">
        <v>76</v>
      </c>
      <c r="I177">
        <v>46493</v>
      </c>
      <c r="J177">
        <v>26906</v>
      </c>
      <c r="K177">
        <v>150</v>
      </c>
      <c r="L177" s="4" t="s">
        <v>40</v>
      </c>
      <c r="M177" s="4" t="s">
        <v>37</v>
      </c>
      <c r="N177" s="4" t="s">
        <v>16</v>
      </c>
      <c r="O177" s="33">
        <f t="shared" si="2"/>
        <v>8.4227733207149463E-2</v>
      </c>
      <c r="P177" s="92">
        <f>(_xlfn.XLOOKUP(Table1__3[[#This Row],[Campaign_Name]],Table3[Campaign_Name],Table3[Start_Date]))</f>
        <v>45667</v>
      </c>
      <c r="Q177" s="92">
        <f>(_xlfn.XLOOKUP(Table1__3[[#This Row],[Campaign_Name]],Table3[Campaign_Name],Table3[End_Date]))</f>
        <v>45698</v>
      </c>
      <c r="R177" s="4" t="str">
        <f>IF(Table1__3[[#This Row],[Date]] &lt; Table1__3[[#This Row],[Start_Date]], "Before",
   IF(AND(Table1__3[[#This Row],[Date]] &gt;= Table1__3[[#This Row],[Start_Date]], Table1__3[[#This Row],[Date]] &lt;= Table1__3[[#This Row],[End_Date]]), "During",
   "After"))</f>
        <v>Before</v>
      </c>
      <c r="S177" s="31"/>
      <c r="T177" s="31"/>
    </row>
    <row r="178" spans="1:20">
      <c r="A178" s="4" t="s">
        <v>211</v>
      </c>
      <c r="B178" s="4" t="s">
        <v>22</v>
      </c>
      <c r="C178" s="92">
        <v>45606</v>
      </c>
      <c r="D178" s="4" t="s">
        <v>14</v>
      </c>
      <c r="E178" s="4" t="s">
        <v>18</v>
      </c>
      <c r="F178">
        <v>4823</v>
      </c>
      <c r="G178">
        <v>489</v>
      </c>
      <c r="H178">
        <v>302</v>
      </c>
      <c r="I178">
        <v>32470</v>
      </c>
      <c r="J178">
        <v>31861</v>
      </c>
      <c r="K178">
        <v>178</v>
      </c>
      <c r="L178" s="4" t="s">
        <v>40</v>
      </c>
      <c r="M178" s="4"/>
      <c r="N178" s="4" t="s">
        <v>20</v>
      </c>
      <c r="O178" s="33">
        <f t="shared" si="2"/>
        <v>0.1728980597474592</v>
      </c>
      <c r="P178" s="92">
        <f>(_xlfn.XLOOKUP(Table1__3[[#This Row],[Campaign_Name]],Table3[Campaign_Name],Table3[Start_Date]))</f>
        <v>45717</v>
      </c>
      <c r="Q178" s="92">
        <f>(_xlfn.XLOOKUP(Table1__3[[#This Row],[Campaign_Name]],Table3[Campaign_Name],Table3[End_Date]))</f>
        <v>45747</v>
      </c>
      <c r="R178" s="4" t="str">
        <f>IF(Table1__3[[#This Row],[Date]] &lt; Table1__3[[#This Row],[Start_Date]], "Before",
   IF(AND(Table1__3[[#This Row],[Date]] &gt;= Table1__3[[#This Row],[Start_Date]], Table1__3[[#This Row],[Date]] &lt;= Table1__3[[#This Row],[End_Date]]), "During",
   "After"))</f>
        <v>Before</v>
      </c>
      <c r="S178" s="31"/>
      <c r="T178" s="31"/>
    </row>
    <row r="179" spans="1:20">
      <c r="A179" s="4" t="s">
        <v>212</v>
      </c>
      <c r="B179" s="4" t="s">
        <v>13</v>
      </c>
      <c r="C179" s="92">
        <v>45640</v>
      </c>
      <c r="D179" s="4" t="s">
        <v>23</v>
      </c>
      <c r="E179" s="4" t="s">
        <v>44</v>
      </c>
      <c r="F179">
        <v>3812</v>
      </c>
      <c r="G179">
        <v>321</v>
      </c>
      <c r="H179">
        <v>289</v>
      </c>
      <c r="I179">
        <v>59838</v>
      </c>
      <c r="J179">
        <v>36337</v>
      </c>
      <c r="K179">
        <v>161</v>
      </c>
      <c r="L179" s="4" t="s">
        <v>37</v>
      </c>
      <c r="M179" s="4"/>
      <c r="N179" s="4" t="s">
        <v>50</v>
      </c>
      <c r="O179" s="33">
        <f t="shared" si="2"/>
        <v>7.3899528727564417E-2</v>
      </c>
      <c r="P179" s="92">
        <f>(_xlfn.XLOOKUP(Table1__3[[#This Row],[Campaign_Name]],Table3[Campaign_Name],Table3[Start_Date]))</f>
        <v>45627</v>
      </c>
      <c r="Q179" s="92">
        <f>(_xlfn.XLOOKUP(Table1__3[[#This Row],[Campaign_Name]],Table3[Campaign_Name],Table3[End_Date]))</f>
        <v>45657</v>
      </c>
      <c r="R179" s="4" t="str">
        <f>IF(Table1__3[[#This Row],[Date]] &lt; Table1__3[[#This Row],[Start_Date]], "Before",
   IF(AND(Table1__3[[#This Row],[Date]] &gt;= Table1__3[[#This Row],[Start_Date]], Table1__3[[#This Row],[Date]] &lt;= Table1__3[[#This Row],[End_Date]]), "During",
   "After"))</f>
        <v>During</v>
      </c>
      <c r="S179" s="31"/>
      <c r="T179" s="31"/>
    </row>
    <row r="180" spans="1:20">
      <c r="A180" s="4" t="s">
        <v>213</v>
      </c>
      <c r="B180" s="4" t="s">
        <v>22</v>
      </c>
      <c r="C180" s="92">
        <v>45615</v>
      </c>
      <c r="D180" s="4" t="s">
        <v>14</v>
      </c>
      <c r="E180" s="4" t="s">
        <v>18</v>
      </c>
      <c r="F180">
        <v>2387</v>
      </c>
      <c r="G180">
        <v>353</v>
      </c>
      <c r="H180">
        <v>78</v>
      </c>
      <c r="I180">
        <v>39745</v>
      </c>
      <c r="J180">
        <v>69226</v>
      </c>
      <c r="K180">
        <v>208</v>
      </c>
      <c r="L180" s="4" t="s">
        <v>40</v>
      </c>
      <c r="M180" s="4"/>
      <c r="N180" s="4" t="s">
        <v>20</v>
      </c>
      <c r="O180" s="33">
        <f t="shared" si="2"/>
        <v>7.090200025160398E-2</v>
      </c>
      <c r="P180" s="92">
        <f>(_xlfn.XLOOKUP(Table1__3[[#This Row],[Campaign_Name]],Table3[Campaign_Name],Table3[Start_Date]))</f>
        <v>45717</v>
      </c>
      <c r="Q180" s="92">
        <f>(_xlfn.XLOOKUP(Table1__3[[#This Row],[Campaign_Name]],Table3[Campaign_Name],Table3[End_Date]))</f>
        <v>45747</v>
      </c>
      <c r="R180" s="4" t="str">
        <f>IF(Table1__3[[#This Row],[Date]] &lt; Table1__3[[#This Row],[Start_Date]], "Before",
   IF(AND(Table1__3[[#This Row],[Date]] &gt;= Table1__3[[#This Row],[Start_Date]], Table1__3[[#This Row],[Date]] &lt;= Table1__3[[#This Row],[End_Date]]), "During",
   "After"))</f>
        <v>Before</v>
      </c>
      <c r="S180" s="31"/>
      <c r="T180" s="31"/>
    </row>
    <row r="181" spans="1:20">
      <c r="A181" s="4" t="s">
        <v>214</v>
      </c>
      <c r="B181" s="4" t="s">
        <v>22</v>
      </c>
      <c r="C181" s="92">
        <v>45777</v>
      </c>
      <c r="D181" s="4" t="s">
        <v>23</v>
      </c>
      <c r="E181" s="4" t="s">
        <v>26</v>
      </c>
      <c r="F181">
        <v>3929</v>
      </c>
      <c r="G181">
        <v>275</v>
      </c>
      <c r="H181">
        <v>330</v>
      </c>
      <c r="I181">
        <v>58329</v>
      </c>
      <c r="J181">
        <v>33196</v>
      </c>
      <c r="K181">
        <v>85</v>
      </c>
      <c r="L181" s="4" t="s">
        <v>363</v>
      </c>
      <c r="M181" s="4" t="s">
        <v>37</v>
      </c>
      <c r="N181" s="4" t="s">
        <v>16</v>
      </c>
      <c r="O181" s="33">
        <f t="shared" si="2"/>
        <v>7.7731488624869283E-2</v>
      </c>
      <c r="P181" s="92">
        <f>(_xlfn.XLOOKUP(Table1__3[[#This Row],[Campaign_Name]],Table3[Campaign_Name],Table3[Start_Date]))</f>
        <v>45667</v>
      </c>
      <c r="Q181" s="92">
        <f>(_xlfn.XLOOKUP(Table1__3[[#This Row],[Campaign_Name]],Table3[Campaign_Name],Table3[End_Date]))</f>
        <v>45698</v>
      </c>
      <c r="R181" s="4" t="str">
        <f>IF(Table1__3[[#This Row],[Date]] &lt; Table1__3[[#This Row],[Start_Date]], "Before",
   IF(AND(Table1__3[[#This Row],[Date]] &gt;= Table1__3[[#This Row],[Start_Date]], Table1__3[[#This Row],[Date]] &lt;= Table1__3[[#This Row],[End_Date]]), "During",
   "After"))</f>
        <v>After</v>
      </c>
      <c r="S181" s="31"/>
      <c r="T181" s="31"/>
    </row>
    <row r="182" spans="1:20">
      <c r="A182" s="4" t="s">
        <v>215</v>
      </c>
      <c r="B182" s="4" t="s">
        <v>22</v>
      </c>
      <c r="C182" s="92">
        <v>45370</v>
      </c>
      <c r="D182" s="4" t="s">
        <v>14</v>
      </c>
      <c r="E182" s="4" t="s">
        <v>44</v>
      </c>
      <c r="F182">
        <v>2191</v>
      </c>
      <c r="G182">
        <v>288</v>
      </c>
      <c r="H182">
        <v>83</v>
      </c>
      <c r="I182">
        <v>59606</v>
      </c>
      <c r="J182">
        <v>24765</v>
      </c>
      <c r="K182">
        <v>281</v>
      </c>
      <c r="L182" s="4" t="s">
        <v>40</v>
      </c>
      <c r="M182" s="4"/>
      <c r="N182" s="4" t="s">
        <v>20</v>
      </c>
      <c r="O182" s="33">
        <f t="shared" si="2"/>
        <v>4.2982250109049422E-2</v>
      </c>
      <c r="P182" s="92">
        <f>(_xlfn.XLOOKUP(Table1__3[[#This Row],[Campaign_Name]],Table3[Campaign_Name],Table3[Start_Date]))</f>
        <v>45717</v>
      </c>
      <c r="Q182" s="92">
        <f>(_xlfn.XLOOKUP(Table1__3[[#This Row],[Campaign_Name]],Table3[Campaign_Name],Table3[End_Date]))</f>
        <v>45747</v>
      </c>
      <c r="R182" s="4" t="str">
        <f>IF(Table1__3[[#This Row],[Date]] &lt; Table1__3[[#This Row],[Start_Date]], "Before",
   IF(AND(Table1__3[[#This Row],[Date]] &gt;= Table1__3[[#This Row],[Start_Date]], Table1__3[[#This Row],[Date]] &lt;= Table1__3[[#This Row],[End_Date]]), "During",
   "After"))</f>
        <v>Before</v>
      </c>
      <c r="S182" s="31"/>
      <c r="T182" s="31"/>
    </row>
    <row r="183" spans="1:20">
      <c r="A183" s="4" t="s">
        <v>216</v>
      </c>
      <c r="B183" s="4" t="s">
        <v>13</v>
      </c>
      <c r="C183" s="92">
        <v>45370</v>
      </c>
      <c r="D183" s="4" t="s">
        <v>14</v>
      </c>
      <c r="E183" s="4" t="s">
        <v>44</v>
      </c>
      <c r="F183">
        <v>2878</v>
      </c>
      <c r="G183">
        <v>278</v>
      </c>
      <c r="H183">
        <v>255</v>
      </c>
      <c r="I183">
        <v>47235</v>
      </c>
      <c r="J183">
        <v>57922</v>
      </c>
      <c r="K183">
        <v>112</v>
      </c>
      <c r="L183" s="4" t="s">
        <v>40</v>
      </c>
      <c r="M183" s="4" t="s">
        <v>37</v>
      </c>
      <c r="N183" s="4" t="s">
        <v>16</v>
      </c>
      <c r="O183" s="33">
        <f t="shared" si="2"/>
        <v>7.2213401079707848E-2</v>
      </c>
      <c r="P183" s="92">
        <f>(_xlfn.XLOOKUP(Table1__3[[#This Row],[Campaign_Name]],Table3[Campaign_Name],Table3[Start_Date]))</f>
        <v>45667</v>
      </c>
      <c r="Q183" s="92">
        <f>(_xlfn.XLOOKUP(Table1__3[[#This Row],[Campaign_Name]],Table3[Campaign_Name],Table3[End_Date]))</f>
        <v>45698</v>
      </c>
      <c r="R183" s="4" t="str">
        <f>IF(Table1__3[[#This Row],[Date]] &lt; Table1__3[[#This Row],[Start_Date]], "Before",
   IF(AND(Table1__3[[#This Row],[Date]] &gt;= Table1__3[[#This Row],[Start_Date]], Table1__3[[#This Row],[Date]] &lt;= Table1__3[[#This Row],[End_Date]]), "During",
   "After"))</f>
        <v>Before</v>
      </c>
      <c r="S183" s="31"/>
      <c r="T183" s="31"/>
    </row>
    <row r="184" spans="1:20">
      <c r="A184" s="4" t="s">
        <v>217</v>
      </c>
      <c r="B184" s="4" t="s">
        <v>22</v>
      </c>
      <c r="C184" s="92">
        <v>45496</v>
      </c>
      <c r="D184" s="4" t="s">
        <v>14</v>
      </c>
      <c r="E184" s="4" t="s">
        <v>36</v>
      </c>
      <c r="F184">
        <v>3204</v>
      </c>
      <c r="G184">
        <v>398</v>
      </c>
      <c r="H184">
        <v>85</v>
      </c>
      <c r="I184">
        <v>22020</v>
      </c>
      <c r="J184">
        <v>58353</v>
      </c>
      <c r="K184">
        <v>286</v>
      </c>
      <c r="L184" s="4" t="s">
        <v>40</v>
      </c>
      <c r="M184" s="4"/>
      <c r="N184" s="4" t="s">
        <v>20</v>
      </c>
      <c r="O184" s="33">
        <f t="shared" si="2"/>
        <v>0.16743869209809265</v>
      </c>
      <c r="P184" s="92">
        <f>(_xlfn.XLOOKUP(Table1__3[[#This Row],[Campaign_Name]],Table3[Campaign_Name],Table3[Start_Date]))</f>
        <v>45717</v>
      </c>
      <c r="Q184" s="92">
        <f>(_xlfn.XLOOKUP(Table1__3[[#This Row],[Campaign_Name]],Table3[Campaign_Name],Table3[End_Date]))</f>
        <v>45747</v>
      </c>
      <c r="R184" s="4" t="str">
        <f>IF(Table1__3[[#This Row],[Date]] &lt; Table1__3[[#This Row],[Start_Date]], "Before",
   IF(AND(Table1__3[[#This Row],[Date]] &gt;= Table1__3[[#This Row],[Start_Date]], Table1__3[[#This Row],[Date]] &lt;= Table1__3[[#This Row],[End_Date]]), "During",
   "After"))</f>
        <v>Before</v>
      </c>
      <c r="S184" s="31"/>
      <c r="T184" s="31"/>
    </row>
    <row r="185" spans="1:20">
      <c r="A185" s="4" t="s">
        <v>218</v>
      </c>
      <c r="B185" s="4" t="s">
        <v>22</v>
      </c>
      <c r="C185" s="92">
        <v>45486</v>
      </c>
      <c r="D185" s="4" t="s">
        <v>23</v>
      </c>
      <c r="E185" s="4" t="s">
        <v>33</v>
      </c>
      <c r="F185">
        <v>2408</v>
      </c>
      <c r="G185">
        <v>323</v>
      </c>
      <c r="H185">
        <v>251</v>
      </c>
      <c r="I185">
        <v>47599</v>
      </c>
      <c r="J185">
        <v>35543</v>
      </c>
      <c r="K185">
        <v>287</v>
      </c>
      <c r="L185" s="4" t="s">
        <v>363</v>
      </c>
      <c r="M185" s="4" t="s">
        <v>37</v>
      </c>
      <c r="N185" s="4" t="s">
        <v>16</v>
      </c>
      <c r="O185" s="33">
        <f t="shared" si="2"/>
        <v>6.2648374965860634E-2</v>
      </c>
      <c r="P185" s="92">
        <f>(_xlfn.XLOOKUP(Table1__3[[#This Row],[Campaign_Name]],Table3[Campaign_Name],Table3[Start_Date]))</f>
        <v>45667</v>
      </c>
      <c r="Q185" s="92">
        <f>(_xlfn.XLOOKUP(Table1__3[[#This Row],[Campaign_Name]],Table3[Campaign_Name],Table3[End_Date]))</f>
        <v>45698</v>
      </c>
      <c r="R185" s="4" t="str">
        <f>IF(Table1__3[[#This Row],[Date]] &lt; Table1__3[[#This Row],[Start_Date]], "Before",
   IF(AND(Table1__3[[#This Row],[Date]] &gt;= Table1__3[[#This Row],[Start_Date]], Table1__3[[#This Row],[Date]] &lt;= Table1__3[[#This Row],[End_Date]]), "During",
   "After"))</f>
        <v>Before</v>
      </c>
      <c r="S185" s="31"/>
      <c r="T185" s="31"/>
    </row>
    <row r="186" spans="1:20">
      <c r="A186" s="4" t="s">
        <v>219</v>
      </c>
      <c r="B186" s="4" t="s">
        <v>28</v>
      </c>
      <c r="C186" s="92">
        <v>45769</v>
      </c>
      <c r="D186" s="4" t="s">
        <v>52</v>
      </c>
      <c r="E186" s="4" t="s">
        <v>24</v>
      </c>
      <c r="F186">
        <v>2733</v>
      </c>
      <c r="G186">
        <v>297</v>
      </c>
      <c r="H186">
        <v>235</v>
      </c>
      <c r="I186">
        <v>37980</v>
      </c>
      <c r="J186">
        <v>33058</v>
      </c>
      <c r="K186">
        <v>219</v>
      </c>
      <c r="L186" s="4" t="s">
        <v>19</v>
      </c>
      <c r="M186" s="4" t="s">
        <v>40</v>
      </c>
      <c r="N186" s="4" t="s">
        <v>53</v>
      </c>
      <c r="O186" s="33">
        <f t="shared" si="2"/>
        <v>8.5966298051606105E-2</v>
      </c>
      <c r="P186" s="92">
        <f>(_xlfn.XLOOKUP(Table1__3[[#This Row],[Campaign_Name]],Table3[Campaign_Name],Table3[Start_Date]))</f>
        <v>45458</v>
      </c>
      <c r="Q186" s="92">
        <f>(_xlfn.XLOOKUP(Table1__3[[#This Row],[Campaign_Name]],Table3[Campaign_Name],Table3[End_Date]))</f>
        <v>45488</v>
      </c>
      <c r="R186" s="4" t="str">
        <f>IF(Table1__3[[#This Row],[Date]] &lt; Table1__3[[#This Row],[Start_Date]], "Before",
   IF(AND(Table1__3[[#This Row],[Date]] &gt;= Table1__3[[#This Row],[Start_Date]], Table1__3[[#This Row],[Date]] &lt;= Table1__3[[#This Row],[End_Date]]), "During",
   "After"))</f>
        <v>After</v>
      </c>
      <c r="S186" s="31"/>
      <c r="T186" s="31"/>
    </row>
    <row r="187" spans="1:20">
      <c r="A187" s="4" t="s">
        <v>220</v>
      </c>
      <c r="B187" s="4" t="s">
        <v>22</v>
      </c>
      <c r="C187" s="92">
        <v>45459</v>
      </c>
      <c r="D187" s="4" t="s">
        <v>23</v>
      </c>
      <c r="E187" s="4" t="s">
        <v>18</v>
      </c>
      <c r="F187">
        <v>4618</v>
      </c>
      <c r="G187">
        <v>312</v>
      </c>
      <c r="H187">
        <v>254</v>
      </c>
      <c r="I187">
        <v>22571</v>
      </c>
      <c r="J187">
        <v>29453</v>
      </c>
      <c r="K187">
        <v>197</v>
      </c>
      <c r="L187" s="4" t="s">
        <v>363</v>
      </c>
      <c r="M187" s="4" t="s">
        <v>37</v>
      </c>
      <c r="N187" s="4" t="s">
        <v>16</v>
      </c>
      <c r="O187" s="33">
        <f t="shared" si="2"/>
        <v>0.22967524699836073</v>
      </c>
      <c r="P187" s="92">
        <f>(_xlfn.XLOOKUP(Table1__3[[#This Row],[Campaign_Name]],Table3[Campaign_Name],Table3[Start_Date]))</f>
        <v>45667</v>
      </c>
      <c r="Q187" s="92">
        <f>(_xlfn.XLOOKUP(Table1__3[[#This Row],[Campaign_Name]],Table3[Campaign_Name],Table3[End_Date]))</f>
        <v>45698</v>
      </c>
      <c r="R187" s="4" t="str">
        <f>IF(Table1__3[[#This Row],[Date]] &lt; Table1__3[[#This Row],[Start_Date]], "Before",
   IF(AND(Table1__3[[#This Row],[Date]] &gt;= Table1__3[[#This Row],[Start_Date]], Table1__3[[#This Row],[Date]] &lt;= Table1__3[[#This Row],[End_Date]]), "During",
   "After"))</f>
        <v>Before</v>
      </c>
      <c r="S187" s="31"/>
      <c r="T187" s="31"/>
    </row>
    <row r="188" spans="1:20">
      <c r="A188" s="4" t="s">
        <v>221</v>
      </c>
      <c r="B188" s="4" t="s">
        <v>28</v>
      </c>
      <c r="C188" s="92">
        <v>45795</v>
      </c>
      <c r="D188" s="4" t="s">
        <v>52</v>
      </c>
      <c r="E188" s="4" t="s">
        <v>26</v>
      </c>
      <c r="F188">
        <v>4210</v>
      </c>
      <c r="G188">
        <v>319</v>
      </c>
      <c r="H188">
        <v>350</v>
      </c>
      <c r="I188">
        <v>37762</v>
      </c>
      <c r="J188">
        <v>55162</v>
      </c>
      <c r="K188">
        <v>204</v>
      </c>
      <c r="L188" s="4" t="s">
        <v>19</v>
      </c>
      <c r="M188" s="4" t="s">
        <v>40</v>
      </c>
      <c r="N188" s="4" t="s">
        <v>53</v>
      </c>
      <c r="O188" s="33">
        <f t="shared" si="2"/>
        <v>0.12920396165457337</v>
      </c>
      <c r="P188" s="92">
        <f>(_xlfn.XLOOKUP(Table1__3[[#This Row],[Campaign_Name]],Table3[Campaign_Name],Table3[Start_Date]))</f>
        <v>45458</v>
      </c>
      <c r="Q188" s="92">
        <f>(_xlfn.XLOOKUP(Table1__3[[#This Row],[Campaign_Name]],Table3[Campaign_Name],Table3[End_Date]))</f>
        <v>45488</v>
      </c>
      <c r="R188" s="4" t="str">
        <f>IF(Table1__3[[#This Row],[Date]] &lt; Table1__3[[#This Row],[Start_Date]], "Before",
   IF(AND(Table1__3[[#This Row],[Date]] &gt;= Table1__3[[#This Row],[Start_Date]], Table1__3[[#This Row],[Date]] &lt;= Table1__3[[#This Row],[End_Date]]), "During",
   "After"))</f>
        <v>After</v>
      </c>
      <c r="S188" s="31"/>
      <c r="T188" s="31"/>
    </row>
    <row r="189" spans="1:20">
      <c r="A189" s="4" t="s">
        <v>222</v>
      </c>
      <c r="B189" s="4" t="s">
        <v>13</v>
      </c>
      <c r="C189" s="92">
        <v>45814</v>
      </c>
      <c r="D189" s="4" t="s">
        <v>14</v>
      </c>
      <c r="E189" s="4" t="s">
        <v>26</v>
      </c>
      <c r="F189">
        <v>3987</v>
      </c>
      <c r="G189">
        <v>171</v>
      </c>
      <c r="H189">
        <v>274</v>
      </c>
      <c r="I189">
        <v>45122</v>
      </c>
      <c r="J189">
        <v>65431</v>
      </c>
      <c r="K189">
        <v>168</v>
      </c>
      <c r="L189" s="4" t="s">
        <v>19</v>
      </c>
      <c r="M189" s="4"/>
      <c r="N189" s="4" t="s">
        <v>20</v>
      </c>
      <c r="O189" s="33">
        <f t="shared" si="2"/>
        <v>9.8222596516111871E-2</v>
      </c>
      <c r="P189" s="92">
        <f>(_xlfn.XLOOKUP(Table1__3[[#This Row],[Campaign_Name]],Table3[Campaign_Name],Table3[Start_Date]))</f>
        <v>45717</v>
      </c>
      <c r="Q189" s="92">
        <f>(_xlfn.XLOOKUP(Table1__3[[#This Row],[Campaign_Name]],Table3[Campaign_Name],Table3[End_Date]))</f>
        <v>45747</v>
      </c>
      <c r="R189" s="4" t="str">
        <f>IF(Table1__3[[#This Row],[Date]] &lt; Table1__3[[#This Row],[Start_Date]], "Before",
   IF(AND(Table1__3[[#This Row],[Date]] &gt;= Table1__3[[#This Row],[Start_Date]], Table1__3[[#This Row],[Date]] &lt;= Table1__3[[#This Row],[End_Date]]), "During",
   "After"))</f>
        <v>After</v>
      </c>
      <c r="S189" s="31"/>
      <c r="T189" s="31"/>
    </row>
    <row r="190" spans="1:20">
      <c r="A190" s="4" t="s">
        <v>223</v>
      </c>
      <c r="B190" s="4" t="s">
        <v>28</v>
      </c>
      <c r="C190" s="92">
        <v>45708</v>
      </c>
      <c r="D190" s="4" t="s">
        <v>52</v>
      </c>
      <c r="E190" s="4" t="s">
        <v>33</v>
      </c>
      <c r="F190">
        <v>4957</v>
      </c>
      <c r="G190">
        <v>262</v>
      </c>
      <c r="H190">
        <v>365</v>
      </c>
      <c r="I190">
        <v>49199</v>
      </c>
      <c r="J190">
        <v>40314</v>
      </c>
      <c r="K190">
        <v>216</v>
      </c>
      <c r="L190" s="4" t="s">
        <v>19</v>
      </c>
      <c r="M190" s="4" t="s">
        <v>40</v>
      </c>
      <c r="N190" s="4" t="s">
        <v>53</v>
      </c>
      <c r="O190" s="33">
        <f t="shared" si="2"/>
        <v>0.11349824183418362</v>
      </c>
      <c r="P190" s="92">
        <f>(_xlfn.XLOOKUP(Table1__3[[#This Row],[Campaign_Name]],Table3[Campaign_Name],Table3[Start_Date]))</f>
        <v>45458</v>
      </c>
      <c r="Q190" s="92">
        <f>(_xlfn.XLOOKUP(Table1__3[[#This Row],[Campaign_Name]],Table3[Campaign_Name],Table3[End_Date]))</f>
        <v>45488</v>
      </c>
      <c r="R190" s="4" t="str">
        <f>IF(Table1__3[[#This Row],[Date]] &lt; Table1__3[[#This Row],[Start_Date]], "Before",
   IF(AND(Table1__3[[#This Row],[Date]] &gt;= Table1__3[[#This Row],[Start_Date]], Table1__3[[#This Row],[Date]] &lt;= Table1__3[[#This Row],[End_Date]]), "During",
   "After"))</f>
        <v>After</v>
      </c>
      <c r="S190" s="31"/>
      <c r="T190" s="31"/>
    </row>
    <row r="191" spans="1:20">
      <c r="A191" s="4" t="s">
        <v>224</v>
      </c>
      <c r="B191" s="4" t="s">
        <v>13</v>
      </c>
      <c r="C191" s="92">
        <v>45673</v>
      </c>
      <c r="D191" s="4" t="s">
        <v>14</v>
      </c>
      <c r="E191" s="4" t="s">
        <v>29</v>
      </c>
      <c r="F191">
        <v>2605</v>
      </c>
      <c r="G191">
        <v>282</v>
      </c>
      <c r="H191">
        <v>148</v>
      </c>
      <c r="I191">
        <v>32201</v>
      </c>
      <c r="J191">
        <v>49583</v>
      </c>
      <c r="K191">
        <v>241</v>
      </c>
      <c r="L191" s="4" t="s">
        <v>40</v>
      </c>
      <c r="M191" s="4" t="s">
        <v>37</v>
      </c>
      <c r="N191" s="4" t="s">
        <v>16</v>
      </c>
      <c r="O191" s="33">
        <f t="shared" si="2"/>
        <v>9.4251731312692155E-2</v>
      </c>
      <c r="P191" s="92">
        <f>(_xlfn.XLOOKUP(Table1__3[[#This Row],[Campaign_Name]],Table3[Campaign_Name],Table3[Start_Date]))</f>
        <v>45667</v>
      </c>
      <c r="Q191" s="92">
        <f>(_xlfn.XLOOKUP(Table1__3[[#This Row],[Campaign_Name]],Table3[Campaign_Name],Table3[End_Date]))</f>
        <v>45698</v>
      </c>
      <c r="R191" s="4" t="str">
        <f>IF(Table1__3[[#This Row],[Date]] &lt; Table1__3[[#This Row],[Start_Date]], "Before",
   IF(AND(Table1__3[[#This Row],[Date]] &gt;= Table1__3[[#This Row],[Start_Date]], Table1__3[[#This Row],[Date]] &lt;= Table1__3[[#This Row],[End_Date]]), "During",
   "After"))</f>
        <v>During</v>
      </c>
      <c r="S191" s="31"/>
      <c r="T191" s="31"/>
    </row>
    <row r="192" spans="1:20">
      <c r="A192" s="4" t="s">
        <v>225</v>
      </c>
      <c r="B192" s="4" t="s">
        <v>28</v>
      </c>
      <c r="C192" s="92">
        <v>45346</v>
      </c>
      <c r="D192" s="4" t="s">
        <v>52</v>
      </c>
      <c r="E192" s="4" t="s">
        <v>15</v>
      </c>
      <c r="F192">
        <v>4221</v>
      </c>
      <c r="G192">
        <v>307</v>
      </c>
      <c r="H192">
        <v>58</v>
      </c>
      <c r="I192">
        <v>45080</v>
      </c>
      <c r="J192">
        <v>37214</v>
      </c>
      <c r="K192">
        <v>240</v>
      </c>
      <c r="L192" s="4" t="s">
        <v>19</v>
      </c>
      <c r="M192" s="4" t="s">
        <v>40</v>
      </c>
      <c r="N192" s="4" t="s">
        <v>53</v>
      </c>
      <c r="O192" s="33">
        <f t="shared" si="2"/>
        <v>0.10173025732031943</v>
      </c>
      <c r="P192" s="92">
        <f>(_xlfn.XLOOKUP(Table1__3[[#This Row],[Campaign_Name]],Table3[Campaign_Name],Table3[Start_Date]))</f>
        <v>45458</v>
      </c>
      <c r="Q192" s="92">
        <f>(_xlfn.XLOOKUP(Table1__3[[#This Row],[Campaign_Name]],Table3[Campaign_Name],Table3[End_Date]))</f>
        <v>45488</v>
      </c>
      <c r="R192" s="4" t="str">
        <f>IF(Table1__3[[#This Row],[Date]] &lt; Table1__3[[#This Row],[Start_Date]], "Before",
   IF(AND(Table1__3[[#This Row],[Date]] &gt;= Table1__3[[#This Row],[Start_Date]], Table1__3[[#This Row],[Date]] &lt;= Table1__3[[#This Row],[End_Date]]), "During",
   "After"))</f>
        <v>Before</v>
      </c>
      <c r="S192" s="31"/>
      <c r="T192" s="31"/>
    </row>
    <row r="193" spans="1:20">
      <c r="A193" s="4" t="s">
        <v>226</v>
      </c>
      <c r="B193" s="4" t="s">
        <v>22</v>
      </c>
      <c r="C193" s="92">
        <v>45551</v>
      </c>
      <c r="D193" s="4" t="s">
        <v>23</v>
      </c>
      <c r="E193" s="4" t="s">
        <v>31</v>
      </c>
      <c r="F193">
        <v>4422</v>
      </c>
      <c r="G193">
        <v>434</v>
      </c>
      <c r="H193">
        <v>156</v>
      </c>
      <c r="I193">
        <v>56165</v>
      </c>
      <c r="J193">
        <v>52431</v>
      </c>
      <c r="K193">
        <v>173</v>
      </c>
      <c r="L193" s="4" t="s">
        <v>19</v>
      </c>
      <c r="M193" s="4" t="s">
        <v>363</v>
      </c>
      <c r="N193" s="4" t="s">
        <v>16</v>
      </c>
      <c r="O193" s="33">
        <f t="shared" si="2"/>
        <v>8.9237069349238848E-2</v>
      </c>
      <c r="P193" s="92">
        <f>(_xlfn.XLOOKUP(Table1__3[[#This Row],[Campaign_Name]],Table3[Campaign_Name],Table3[Start_Date]))</f>
        <v>45667</v>
      </c>
      <c r="Q193" s="92">
        <f>(_xlfn.XLOOKUP(Table1__3[[#This Row],[Campaign_Name]],Table3[Campaign_Name],Table3[End_Date]))</f>
        <v>45698</v>
      </c>
      <c r="R193" s="4" t="str">
        <f>IF(Table1__3[[#This Row],[Date]] &lt; Table1__3[[#This Row],[Start_Date]], "Before",
   IF(AND(Table1__3[[#This Row],[Date]] &gt;= Table1__3[[#This Row],[Start_Date]], Table1__3[[#This Row],[Date]] &lt;= Table1__3[[#This Row],[End_Date]]), "During",
   "After"))</f>
        <v>Before</v>
      </c>
      <c r="S193" s="31"/>
      <c r="T193" s="31"/>
    </row>
    <row r="194" spans="1:20">
      <c r="A194" s="4" t="s">
        <v>227</v>
      </c>
      <c r="B194" s="4" t="s">
        <v>28</v>
      </c>
      <c r="C194" s="92">
        <v>45447</v>
      </c>
      <c r="D194" s="4" t="s">
        <v>52</v>
      </c>
      <c r="E194" s="4" t="s">
        <v>26</v>
      </c>
      <c r="F194">
        <v>1211</v>
      </c>
      <c r="G194">
        <v>431</v>
      </c>
      <c r="H194">
        <v>83</v>
      </c>
      <c r="I194">
        <v>26532</v>
      </c>
      <c r="J194">
        <v>47305</v>
      </c>
      <c r="K194">
        <v>232</v>
      </c>
      <c r="L194" s="4" t="s">
        <v>19</v>
      </c>
      <c r="M194" s="4" t="s">
        <v>40</v>
      </c>
      <c r="N194" s="4" t="s">
        <v>53</v>
      </c>
      <c r="O194" s="33">
        <f t="shared" ref="O194:O257" si="3">(F194+G194+H194)/I194</f>
        <v>6.5015829941203071E-2</v>
      </c>
      <c r="P194" s="92">
        <f>(_xlfn.XLOOKUP(Table1__3[[#This Row],[Campaign_Name]],Table3[Campaign_Name],Table3[Start_Date]))</f>
        <v>45458</v>
      </c>
      <c r="Q194" s="92">
        <f>(_xlfn.XLOOKUP(Table1__3[[#This Row],[Campaign_Name]],Table3[Campaign_Name],Table3[End_Date]))</f>
        <v>45488</v>
      </c>
      <c r="R194" s="4" t="str">
        <f>IF(Table1__3[[#This Row],[Date]] &lt; Table1__3[[#This Row],[Start_Date]], "Before",
   IF(AND(Table1__3[[#This Row],[Date]] &gt;= Table1__3[[#This Row],[Start_Date]], Table1__3[[#This Row],[Date]] &lt;= Table1__3[[#This Row],[End_Date]]), "During",
   "After"))</f>
        <v>Before</v>
      </c>
      <c r="S194" s="31"/>
      <c r="T194" s="31"/>
    </row>
    <row r="195" spans="1:20">
      <c r="A195" s="4" t="s">
        <v>228</v>
      </c>
      <c r="B195" s="4" t="s">
        <v>22</v>
      </c>
      <c r="C195" s="92">
        <v>45422</v>
      </c>
      <c r="D195" s="4" t="s">
        <v>23</v>
      </c>
      <c r="E195" s="4" t="s">
        <v>18</v>
      </c>
      <c r="F195">
        <v>2784</v>
      </c>
      <c r="G195">
        <v>111</v>
      </c>
      <c r="H195">
        <v>399</v>
      </c>
      <c r="I195">
        <v>58366</v>
      </c>
      <c r="J195">
        <v>69512</v>
      </c>
      <c r="K195">
        <v>269</v>
      </c>
      <c r="L195" s="4" t="s">
        <v>363</v>
      </c>
      <c r="M195" s="4" t="s">
        <v>37</v>
      </c>
      <c r="N195" s="4" t="s">
        <v>16</v>
      </c>
      <c r="O195" s="33">
        <f t="shared" si="3"/>
        <v>5.6436966727204191E-2</v>
      </c>
      <c r="P195" s="92">
        <f>(_xlfn.XLOOKUP(Table1__3[[#This Row],[Campaign_Name]],Table3[Campaign_Name],Table3[Start_Date]))</f>
        <v>45667</v>
      </c>
      <c r="Q195" s="92">
        <f>(_xlfn.XLOOKUP(Table1__3[[#This Row],[Campaign_Name]],Table3[Campaign_Name],Table3[End_Date]))</f>
        <v>45698</v>
      </c>
      <c r="R195" s="4" t="str">
        <f>IF(Table1__3[[#This Row],[Date]] &lt; Table1__3[[#This Row],[Start_Date]], "Before",
   IF(AND(Table1__3[[#This Row],[Date]] &gt;= Table1__3[[#This Row],[Start_Date]], Table1__3[[#This Row],[Date]] &lt;= Table1__3[[#This Row],[End_Date]]), "During",
   "After"))</f>
        <v>Before</v>
      </c>
      <c r="S195" s="31"/>
      <c r="T195" s="31"/>
    </row>
    <row r="196" spans="1:20">
      <c r="A196" s="4" t="s">
        <v>229</v>
      </c>
      <c r="B196" s="4" t="s">
        <v>28</v>
      </c>
      <c r="C196" s="92">
        <v>45305</v>
      </c>
      <c r="D196" s="4" t="s">
        <v>14</v>
      </c>
      <c r="E196" s="4" t="s">
        <v>24</v>
      </c>
      <c r="F196">
        <v>3634</v>
      </c>
      <c r="G196">
        <v>280</v>
      </c>
      <c r="H196">
        <v>399</v>
      </c>
      <c r="I196">
        <v>40256</v>
      </c>
      <c r="J196">
        <v>52605</v>
      </c>
      <c r="K196">
        <v>213</v>
      </c>
      <c r="L196" s="4" t="s">
        <v>19</v>
      </c>
      <c r="M196" s="4" t="s">
        <v>364</v>
      </c>
      <c r="N196" s="4" t="s">
        <v>20</v>
      </c>
      <c r="O196" s="33">
        <f t="shared" si="3"/>
        <v>0.10713930842607314</v>
      </c>
      <c r="P196" s="92">
        <f>(_xlfn.XLOOKUP(Table1__3[[#This Row],[Campaign_Name]],Table3[Campaign_Name],Table3[Start_Date]))</f>
        <v>45717</v>
      </c>
      <c r="Q196" s="92">
        <f>(_xlfn.XLOOKUP(Table1__3[[#This Row],[Campaign_Name]],Table3[Campaign_Name],Table3[End_Date]))</f>
        <v>45747</v>
      </c>
      <c r="R196" s="4" t="str">
        <f>IF(Table1__3[[#This Row],[Date]] &lt; Table1__3[[#This Row],[Start_Date]], "Before",
   IF(AND(Table1__3[[#This Row],[Date]] &gt;= Table1__3[[#This Row],[Start_Date]], Table1__3[[#This Row],[Date]] &lt;= Table1__3[[#This Row],[End_Date]]), "During",
   "After"))</f>
        <v>Before</v>
      </c>
      <c r="S196" s="31"/>
      <c r="T196" s="31"/>
    </row>
    <row r="197" spans="1:20">
      <c r="A197" s="4" t="s">
        <v>230</v>
      </c>
      <c r="B197" s="4" t="s">
        <v>13</v>
      </c>
      <c r="C197" s="92">
        <v>45669</v>
      </c>
      <c r="D197" s="4" t="s">
        <v>14</v>
      </c>
      <c r="E197" s="4" t="s">
        <v>44</v>
      </c>
      <c r="F197">
        <v>1771</v>
      </c>
      <c r="G197">
        <v>487</v>
      </c>
      <c r="H197">
        <v>272</v>
      </c>
      <c r="I197">
        <v>48810</v>
      </c>
      <c r="J197">
        <v>48084</v>
      </c>
      <c r="K197">
        <v>272</v>
      </c>
      <c r="L197" s="4" t="s">
        <v>40</v>
      </c>
      <c r="M197" s="4" t="s">
        <v>37</v>
      </c>
      <c r="N197" s="4" t="s">
        <v>16</v>
      </c>
      <c r="O197" s="33">
        <f t="shared" si="3"/>
        <v>5.1833640647408315E-2</v>
      </c>
      <c r="P197" s="92">
        <f>(_xlfn.XLOOKUP(Table1__3[[#This Row],[Campaign_Name]],Table3[Campaign_Name],Table3[Start_Date]))</f>
        <v>45667</v>
      </c>
      <c r="Q197" s="92">
        <f>(_xlfn.XLOOKUP(Table1__3[[#This Row],[Campaign_Name]],Table3[Campaign_Name],Table3[End_Date]))</f>
        <v>45698</v>
      </c>
      <c r="R197" s="4" t="str">
        <f>IF(Table1__3[[#This Row],[Date]] &lt; Table1__3[[#This Row],[Start_Date]], "Before",
   IF(AND(Table1__3[[#This Row],[Date]] &gt;= Table1__3[[#This Row],[Start_Date]], Table1__3[[#This Row],[Date]] &lt;= Table1__3[[#This Row],[End_Date]]), "During",
   "After"))</f>
        <v>During</v>
      </c>
      <c r="S197" s="31"/>
      <c r="T197" s="31"/>
    </row>
    <row r="198" spans="1:20">
      <c r="A198" s="4" t="s">
        <v>231</v>
      </c>
      <c r="B198" s="4" t="s">
        <v>28</v>
      </c>
      <c r="C198" s="92">
        <v>45634</v>
      </c>
      <c r="D198" s="4" t="s">
        <v>14</v>
      </c>
      <c r="E198" s="4" t="s">
        <v>36</v>
      </c>
      <c r="F198">
        <v>1424</v>
      </c>
      <c r="G198">
        <v>396</v>
      </c>
      <c r="H198">
        <v>312</v>
      </c>
      <c r="I198">
        <v>59517</v>
      </c>
      <c r="J198">
        <v>46102</v>
      </c>
      <c r="K198">
        <v>239</v>
      </c>
      <c r="L198" s="4" t="s">
        <v>19</v>
      </c>
      <c r="M198" s="4" t="s">
        <v>364</v>
      </c>
      <c r="N198" s="4" t="s">
        <v>20</v>
      </c>
      <c r="O198" s="33">
        <f t="shared" si="3"/>
        <v>3.5821698002251455E-2</v>
      </c>
      <c r="P198" s="92">
        <f>(_xlfn.XLOOKUP(Table1__3[[#This Row],[Campaign_Name]],Table3[Campaign_Name],Table3[Start_Date]))</f>
        <v>45717</v>
      </c>
      <c r="Q198" s="92">
        <f>(_xlfn.XLOOKUP(Table1__3[[#This Row],[Campaign_Name]],Table3[Campaign_Name],Table3[End_Date]))</f>
        <v>45747</v>
      </c>
      <c r="R198" s="4" t="str">
        <f>IF(Table1__3[[#This Row],[Date]] &lt; Table1__3[[#This Row],[Start_Date]], "Before",
   IF(AND(Table1__3[[#This Row],[Date]] &gt;= Table1__3[[#This Row],[Start_Date]], Table1__3[[#This Row],[Date]] &lt;= Table1__3[[#This Row],[End_Date]]), "During",
   "After"))</f>
        <v>Before</v>
      </c>
      <c r="S198" s="31"/>
      <c r="T198" s="31"/>
    </row>
    <row r="199" spans="1:20">
      <c r="A199" s="4" t="s">
        <v>232</v>
      </c>
      <c r="B199" s="4" t="s">
        <v>22</v>
      </c>
      <c r="C199" s="92">
        <v>45689</v>
      </c>
      <c r="D199" s="4" t="s">
        <v>23</v>
      </c>
      <c r="E199" s="4" t="s">
        <v>36</v>
      </c>
      <c r="F199">
        <v>1079</v>
      </c>
      <c r="G199">
        <v>265</v>
      </c>
      <c r="H199">
        <v>190</v>
      </c>
      <c r="I199">
        <v>43786</v>
      </c>
      <c r="J199">
        <v>72428</v>
      </c>
      <c r="K199">
        <v>222</v>
      </c>
      <c r="L199" s="4" t="s">
        <v>40</v>
      </c>
      <c r="M199" s="4" t="s">
        <v>37</v>
      </c>
      <c r="N199" s="4" t="s">
        <v>16</v>
      </c>
      <c r="O199" s="33">
        <f t="shared" si="3"/>
        <v>3.5034029141734799E-2</v>
      </c>
      <c r="P199" s="92">
        <f>(_xlfn.XLOOKUP(Table1__3[[#This Row],[Campaign_Name]],Table3[Campaign_Name],Table3[Start_Date]))</f>
        <v>45667</v>
      </c>
      <c r="Q199" s="92">
        <f>(_xlfn.XLOOKUP(Table1__3[[#This Row],[Campaign_Name]],Table3[Campaign_Name],Table3[End_Date]))</f>
        <v>45698</v>
      </c>
      <c r="R199" s="4" t="str">
        <f>IF(Table1__3[[#This Row],[Date]] &lt; Table1__3[[#This Row],[Start_Date]], "Before",
   IF(AND(Table1__3[[#This Row],[Date]] &gt;= Table1__3[[#This Row],[Start_Date]], Table1__3[[#This Row],[Date]] &lt;= Table1__3[[#This Row],[End_Date]]), "During",
   "After"))</f>
        <v>During</v>
      </c>
      <c r="S199" s="31"/>
      <c r="T199" s="31"/>
    </row>
    <row r="200" spans="1:20">
      <c r="A200" s="4" t="s">
        <v>233</v>
      </c>
      <c r="B200" s="4" t="s">
        <v>22</v>
      </c>
      <c r="C200" s="92">
        <v>45484</v>
      </c>
      <c r="D200" s="4" t="s">
        <v>23</v>
      </c>
      <c r="E200" s="4" t="s">
        <v>33</v>
      </c>
      <c r="F200">
        <v>4247</v>
      </c>
      <c r="G200">
        <v>179</v>
      </c>
      <c r="H200">
        <v>175</v>
      </c>
      <c r="I200">
        <v>32991</v>
      </c>
      <c r="J200">
        <v>70120</v>
      </c>
      <c r="K200">
        <v>276</v>
      </c>
      <c r="L200" s="4" t="s">
        <v>40</v>
      </c>
      <c r="M200" s="4" t="s">
        <v>37</v>
      </c>
      <c r="N200" s="4" t="s">
        <v>16</v>
      </c>
      <c r="O200" s="33">
        <f t="shared" si="3"/>
        <v>0.13946227759085811</v>
      </c>
      <c r="P200" s="92">
        <f>(_xlfn.XLOOKUP(Table1__3[[#This Row],[Campaign_Name]],Table3[Campaign_Name],Table3[Start_Date]))</f>
        <v>45667</v>
      </c>
      <c r="Q200" s="92">
        <f>(_xlfn.XLOOKUP(Table1__3[[#This Row],[Campaign_Name]],Table3[Campaign_Name],Table3[End_Date]))</f>
        <v>45698</v>
      </c>
      <c r="R200" s="4" t="str">
        <f>IF(Table1__3[[#This Row],[Date]] &lt; Table1__3[[#This Row],[Start_Date]], "Before",
   IF(AND(Table1__3[[#This Row],[Date]] &gt;= Table1__3[[#This Row],[Start_Date]], Table1__3[[#This Row],[Date]] &lt;= Table1__3[[#This Row],[End_Date]]), "During",
   "After"))</f>
        <v>Before</v>
      </c>
      <c r="S200" s="31"/>
      <c r="T200" s="31"/>
    </row>
    <row r="201" spans="1:20">
      <c r="A201" s="4" t="s">
        <v>234</v>
      </c>
      <c r="B201" s="4" t="s">
        <v>22</v>
      </c>
      <c r="C201" s="92">
        <v>45369</v>
      </c>
      <c r="D201" s="4" t="s">
        <v>14</v>
      </c>
      <c r="E201" s="4" t="s">
        <v>24</v>
      </c>
      <c r="F201">
        <v>2033</v>
      </c>
      <c r="G201">
        <v>420</v>
      </c>
      <c r="H201">
        <v>94</v>
      </c>
      <c r="I201">
        <v>56290</v>
      </c>
      <c r="J201">
        <v>57391</v>
      </c>
      <c r="K201">
        <v>196</v>
      </c>
      <c r="L201" s="4" t="s">
        <v>37</v>
      </c>
      <c r="M201" s="4"/>
      <c r="N201" s="4" t="s">
        <v>16</v>
      </c>
      <c r="O201" s="33">
        <f t="shared" si="3"/>
        <v>4.5247823769763724E-2</v>
      </c>
      <c r="P201" s="92">
        <f>(_xlfn.XLOOKUP(Table1__3[[#This Row],[Campaign_Name]],Table3[Campaign_Name],Table3[Start_Date]))</f>
        <v>45667</v>
      </c>
      <c r="Q201" s="92">
        <f>(_xlfn.XLOOKUP(Table1__3[[#This Row],[Campaign_Name]],Table3[Campaign_Name],Table3[End_Date]))</f>
        <v>45698</v>
      </c>
      <c r="R201" s="4" t="str">
        <f>IF(Table1__3[[#This Row],[Date]] &lt; Table1__3[[#This Row],[Start_Date]], "Before",
   IF(AND(Table1__3[[#This Row],[Date]] &gt;= Table1__3[[#This Row],[Start_Date]], Table1__3[[#This Row],[Date]] &lt;= Table1__3[[#This Row],[End_Date]]), "During",
   "After"))</f>
        <v>Before</v>
      </c>
      <c r="S201" s="31"/>
      <c r="T201" s="31"/>
    </row>
    <row r="202" spans="1:20">
      <c r="A202" s="4" t="s">
        <v>235</v>
      </c>
      <c r="B202" s="4" t="s">
        <v>22</v>
      </c>
      <c r="C202" s="92">
        <v>45547</v>
      </c>
      <c r="D202" s="4" t="s">
        <v>23</v>
      </c>
      <c r="E202" s="4" t="s">
        <v>26</v>
      </c>
      <c r="F202">
        <v>1839</v>
      </c>
      <c r="G202">
        <v>223</v>
      </c>
      <c r="H202">
        <v>171</v>
      </c>
      <c r="I202">
        <v>35459</v>
      </c>
      <c r="J202">
        <v>69988</v>
      </c>
      <c r="K202">
        <v>114</v>
      </c>
      <c r="L202" s="4" t="s">
        <v>363</v>
      </c>
      <c r="M202" s="4" t="s">
        <v>37</v>
      </c>
      <c r="N202" s="4" t="s">
        <v>16</v>
      </c>
      <c r="O202" s="33">
        <f t="shared" si="3"/>
        <v>6.2974139146620034E-2</v>
      </c>
      <c r="P202" s="92">
        <f>(_xlfn.XLOOKUP(Table1__3[[#This Row],[Campaign_Name]],Table3[Campaign_Name],Table3[Start_Date]))</f>
        <v>45667</v>
      </c>
      <c r="Q202" s="92">
        <f>(_xlfn.XLOOKUP(Table1__3[[#This Row],[Campaign_Name]],Table3[Campaign_Name],Table3[End_Date]))</f>
        <v>45698</v>
      </c>
      <c r="R202" s="4" t="str">
        <f>IF(Table1__3[[#This Row],[Date]] &lt; Table1__3[[#This Row],[Start_Date]], "Before",
   IF(AND(Table1__3[[#This Row],[Date]] &gt;= Table1__3[[#This Row],[Start_Date]], Table1__3[[#This Row],[Date]] &lt;= Table1__3[[#This Row],[End_Date]]), "During",
   "After"))</f>
        <v>Before</v>
      </c>
      <c r="S202" s="31"/>
      <c r="T202" s="31"/>
    </row>
    <row r="203" spans="1:20">
      <c r="A203" s="4" t="s">
        <v>236</v>
      </c>
      <c r="B203" s="4" t="s">
        <v>22</v>
      </c>
      <c r="C203" s="92">
        <v>45302</v>
      </c>
      <c r="D203" s="4" t="s">
        <v>23</v>
      </c>
      <c r="E203" s="4" t="s">
        <v>26</v>
      </c>
      <c r="F203">
        <v>2340</v>
      </c>
      <c r="G203">
        <v>141</v>
      </c>
      <c r="H203">
        <v>206</v>
      </c>
      <c r="I203">
        <v>24916</v>
      </c>
      <c r="J203">
        <v>30582</v>
      </c>
      <c r="K203">
        <v>157</v>
      </c>
      <c r="L203" s="4" t="s">
        <v>40</v>
      </c>
      <c r="M203" s="4" t="s">
        <v>37</v>
      </c>
      <c r="N203" s="4" t="s">
        <v>16</v>
      </c>
      <c r="O203" s="33">
        <f t="shared" si="3"/>
        <v>0.10784235029699792</v>
      </c>
      <c r="P203" s="92">
        <f>(_xlfn.XLOOKUP(Table1__3[[#This Row],[Campaign_Name]],Table3[Campaign_Name],Table3[Start_Date]))</f>
        <v>45667</v>
      </c>
      <c r="Q203" s="92">
        <f>(_xlfn.XLOOKUP(Table1__3[[#This Row],[Campaign_Name]],Table3[Campaign_Name],Table3[End_Date]))</f>
        <v>45698</v>
      </c>
      <c r="R203" s="4" t="str">
        <f>IF(Table1__3[[#This Row],[Date]] &lt; Table1__3[[#This Row],[Start_Date]], "Before",
   IF(AND(Table1__3[[#This Row],[Date]] &gt;= Table1__3[[#This Row],[Start_Date]], Table1__3[[#This Row],[Date]] &lt;= Table1__3[[#This Row],[End_Date]]), "During",
   "After"))</f>
        <v>Before</v>
      </c>
      <c r="S203" s="31"/>
      <c r="T203" s="31"/>
    </row>
    <row r="204" spans="1:20">
      <c r="A204" s="4" t="s">
        <v>237</v>
      </c>
      <c r="B204" s="4" t="s">
        <v>13</v>
      </c>
      <c r="C204" s="92">
        <v>45571</v>
      </c>
      <c r="D204" s="4" t="s">
        <v>14</v>
      </c>
      <c r="E204" s="4" t="s">
        <v>36</v>
      </c>
      <c r="F204">
        <v>2080</v>
      </c>
      <c r="G204">
        <v>389</v>
      </c>
      <c r="H204">
        <v>92</v>
      </c>
      <c r="I204">
        <v>30971</v>
      </c>
      <c r="J204">
        <v>25347</v>
      </c>
      <c r="K204">
        <v>111</v>
      </c>
      <c r="L204" s="4" t="s">
        <v>19</v>
      </c>
      <c r="M204" s="4"/>
      <c r="N204" s="4" t="s">
        <v>20</v>
      </c>
      <c r="O204" s="33">
        <f t="shared" si="3"/>
        <v>8.2690258629040073E-2</v>
      </c>
      <c r="P204" s="92">
        <f>(_xlfn.XLOOKUP(Table1__3[[#This Row],[Campaign_Name]],Table3[Campaign_Name],Table3[Start_Date]))</f>
        <v>45717</v>
      </c>
      <c r="Q204" s="92">
        <f>(_xlfn.XLOOKUP(Table1__3[[#This Row],[Campaign_Name]],Table3[Campaign_Name],Table3[End_Date]))</f>
        <v>45747</v>
      </c>
      <c r="R204" s="4" t="str">
        <f>IF(Table1__3[[#This Row],[Date]] &lt; Table1__3[[#This Row],[Start_Date]], "Before",
   IF(AND(Table1__3[[#This Row],[Date]] &gt;= Table1__3[[#This Row],[Start_Date]], Table1__3[[#This Row],[Date]] &lt;= Table1__3[[#This Row],[End_Date]]), "During",
   "After"))</f>
        <v>Before</v>
      </c>
      <c r="S204" s="31"/>
      <c r="T204" s="31"/>
    </row>
    <row r="205" spans="1:20">
      <c r="A205" s="4" t="s">
        <v>238</v>
      </c>
      <c r="B205" s="4" t="s">
        <v>22</v>
      </c>
      <c r="C205" s="92">
        <v>45656</v>
      </c>
      <c r="D205" s="4" t="s">
        <v>14</v>
      </c>
      <c r="E205" s="4" t="s">
        <v>33</v>
      </c>
      <c r="F205">
        <v>4214</v>
      </c>
      <c r="G205">
        <v>286</v>
      </c>
      <c r="H205">
        <v>127</v>
      </c>
      <c r="I205">
        <v>47293</v>
      </c>
      <c r="J205">
        <v>27184</v>
      </c>
      <c r="K205">
        <v>232</v>
      </c>
      <c r="L205" s="4" t="s">
        <v>37</v>
      </c>
      <c r="M205" s="4"/>
      <c r="N205" s="4" t="s">
        <v>16</v>
      </c>
      <c r="O205" s="33">
        <f t="shared" si="3"/>
        <v>9.7836889180216949E-2</v>
      </c>
      <c r="P205" s="92">
        <f>(_xlfn.XLOOKUP(Table1__3[[#This Row],[Campaign_Name]],Table3[Campaign_Name],Table3[Start_Date]))</f>
        <v>45667</v>
      </c>
      <c r="Q205" s="92">
        <f>(_xlfn.XLOOKUP(Table1__3[[#This Row],[Campaign_Name]],Table3[Campaign_Name],Table3[End_Date]))</f>
        <v>45698</v>
      </c>
      <c r="R205" s="4" t="str">
        <f>IF(Table1__3[[#This Row],[Date]] &lt; Table1__3[[#This Row],[Start_Date]], "Before",
   IF(AND(Table1__3[[#This Row],[Date]] &gt;= Table1__3[[#This Row],[Start_Date]], Table1__3[[#This Row],[Date]] &lt;= Table1__3[[#This Row],[End_Date]]), "During",
   "After"))</f>
        <v>Before</v>
      </c>
      <c r="S205" s="31"/>
      <c r="T205" s="31"/>
    </row>
    <row r="206" spans="1:20">
      <c r="A206" s="4" t="s">
        <v>239</v>
      </c>
      <c r="B206" s="4" t="s">
        <v>22</v>
      </c>
      <c r="C206" s="92">
        <v>45763</v>
      </c>
      <c r="D206" s="4" t="s">
        <v>14</v>
      </c>
      <c r="E206" s="4" t="s">
        <v>26</v>
      </c>
      <c r="F206">
        <v>3792</v>
      </c>
      <c r="G206">
        <v>315</v>
      </c>
      <c r="H206">
        <v>120</v>
      </c>
      <c r="I206">
        <v>54592</v>
      </c>
      <c r="J206">
        <v>67886</v>
      </c>
      <c r="K206">
        <v>117</v>
      </c>
      <c r="L206" s="4" t="s">
        <v>40</v>
      </c>
      <c r="M206" s="4"/>
      <c r="N206" s="4" t="s">
        <v>20</v>
      </c>
      <c r="O206" s="33">
        <f t="shared" si="3"/>
        <v>7.7428927315357568E-2</v>
      </c>
      <c r="P206" s="92">
        <f>(_xlfn.XLOOKUP(Table1__3[[#This Row],[Campaign_Name]],Table3[Campaign_Name],Table3[Start_Date]))</f>
        <v>45717</v>
      </c>
      <c r="Q206" s="92">
        <f>(_xlfn.XLOOKUP(Table1__3[[#This Row],[Campaign_Name]],Table3[Campaign_Name],Table3[End_Date]))</f>
        <v>45747</v>
      </c>
      <c r="R206" s="4" t="str">
        <f>IF(Table1__3[[#This Row],[Date]] &lt; Table1__3[[#This Row],[Start_Date]], "Before",
   IF(AND(Table1__3[[#This Row],[Date]] &gt;= Table1__3[[#This Row],[Start_Date]], Table1__3[[#This Row],[Date]] &lt;= Table1__3[[#This Row],[End_Date]]), "During",
   "After"))</f>
        <v>After</v>
      </c>
      <c r="S206" s="31"/>
      <c r="T206" s="31"/>
    </row>
    <row r="207" spans="1:20">
      <c r="A207" s="4" t="s">
        <v>240</v>
      </c>
      <c r="B207" s="4" t="s">
        <v>22</v>
      </c>
      <c r="C207" s="92">
        <v>45525</v>
      </c>
      <c r="D207" s="4" t="s">
        <v>23</v>
      </c>
      <c r="E207" s="4" t="s">
        <v>18</v>
      </c>
      <c r="F207">
        <v>3989</v>
      </c>
      <c r="G207">
        <v>476</v>
      </c>
      <c r="H207">
        <v>128</v>
      </c>
      <c r="I207">
        <v>57569</v>
      </c>
      <c r="J207">
        <v>40193</v>
      </c>
      <c r="K207">
        <v>222</v>
      </c>
      <c r="L207" s="4" t="s">
        <v>19</v>
      </c>
      <c r="M207" s="4" t="s">
        <v>363</v>
      </c>
      <c r="N207" s="4" t="s">
        <v>16</v>
      </c>
      <c r="O207" s="33">
        <f t="shared" si="3"/>
        <v>7.9782521843353188E-2</v>
      </c>
      <c r="P207" s="92">
        <f>(_xlfn.XLOOKUP(Table1__3[[#This Row],[Campaign_Name]],Table3[Campaign_Name],Table3[Start_Date]))</f>
        <v>45667</v>
      </c>
      <c r="Q207" s="92">
        <f>(_xlfn.XLOOKUP(Table1__3[[#This Row],[Campaign_Name]],Table3[Campaign_Name],Table3[End_Date]))</f>
        <v>45698</v>
      </c>
      <c r="R207" s="4" t="str">
        <f>IF(Table1__3[[#This Row],[Date]] &lt; Table1__3[[#This Row],[Start_Date]], "Before",
   IF(AND(Table1__3[[#This Row],[Date]] &gt;= Table1__3[[#This Row],[Start_Date]], Table1__3[[#This Row],[Date]] &lt;= Table1__3[[#This Row],[End_Date]]), "During",
   "After"))</f>
        <v>Before</v>
      </c>
      <c r="S207" s="31"/>
      <c r="T207" s="31"/>
    </row>
    <row r="208" spans="1:20">
      <c r="A208" s="4" t="s">
        <v>241</v>
      </c>
      <c r="B208" s="4" t="s">
        <v>22</v>
      </c>
      <c r="C208" s="92">
        <v>45387</v>
      </c>
      <c r="D208" s="4" t="s">
        <v>23</v>
      </c>
      <c r="E208" s="4" t="s">
        <v>26</v>
      </c>
      <c r="F208">
        <v>2857</v>
      </c>
      <c r="G208">
        <v>443</v>
      </c>
      <c r="H208">
        <v>359</v>
      </c>
      <c r="I208">
        <v>51519</v>
      </c>
      <c r="J208">
        <v>28256</v>
      </c>
      <c r="K208">
        <v>155</v>
      </c>
      <c r="L208" s="4" t="s">
        <v>40</v>
      </c>
      <c r="M208" s="4" t="s">
        <v>37</v>
      </c>
      <c r="N208" s="4" t="s">
        <v>16</v>
      </c>
      <c r="O208" s="33">
        <f t="shared" si="3"/>
        <v>7.1022341272152026E-2</v>
      </c>
      <c r="P208" s="92">
        <f>(_xlfn.XLOOKUP(Table1__3[[#This Row],[Campaign_Name]],Table3[Campaign_Name],Table3[Start_Date]))</f>
        <v>45667</v>
      </c>
      <c r="Q208" s="92">
        <f>(_xlfn.XLOOKUP(Table1__3[[#This Row],[Campaign_Name]],Table3[Campaign_Name],Table3[End_Date]))</f>
        <v>45698</v>
      </c>
      <c r="R208" s="4" t="str">
        <f>IF(Table1__3[[#This Row],[Date]] &lt; Table1__3[[#This Row],[Start_Date]], "Before",
   IF(AND(Table1__3[[#This Row],[Date]] &gt;= Table1__3[[#This Row],[Start_Date]], Table1__3[[#This Row],[Date]] &lt;= Table1__3[[#This Row],[End_Date]]), "During",
   "After"))</f>
        <v>Before</v>
      </c>
      <c r="S208" s="31"/>
      <c r="T208" s="31"/>
    </row>
    <row r="209" spans="1:20">
      <c r="A209" s="4" t="s">
        <v>242</v>
      </c>
      <c r="B209" s="4" t="s">
        <v>22</v>
      </c>
      <c r="C209" s="92">
        <v>45754</v>
      </c>
      <c r="D209" s="4" t="s">
        <v>14</v>
      </c>
      <c r="E209" s="4" t="s">
        <v>44</v>
      </c>
      <c r="F209">
        <v>1403</v>
      </c>
      <c r="G209">
        <v>385</v>
      </c>
      <c r="H209">
        <v>344</v>
      </c>
      <c r="I209">
        <v>54223</v>
      </c>
      <c r="J209">
        <v>72595</v>
      </c>
      <c r="K209">
        <v>239</v>
      </c>
      <c r="L209" s="4" t="s">
        <v>40</v>
      </c>
      <c r="M209" s="4"/>
      <c r="N209" s="4" t="s">
        <v>20</v>
      </c>
      <c r="O209" s="33">
        <f t="shared" si="3"/>
        <v>3.9319108127547353E-2</v>
      </c>
      <c r="P209" s="92">
        <f>(_xlfn.XLOOKUP(Table1__3[[#This Row],[Campaign_Name]],Table3[Campaign_Name],Table3[Start_Date]))</f>
        <v>45717</v>
      </c>
      <c r="Q209" s="92">
        <f>(_xlfn.XLOOKUP(Table1__3[[#This Row],[Campaign_Name]],Table3[Campaign_Name],Table3[End_Date]))</f>
        <v>45747</v>
      </c>
      <c r="R209" s="4" t="str">
        <f>IF(Table1__3[[#This Row],[Date]] &lt; Table1__3[[#This Row],[Start_Date]], "Before",
   IF(AND(Table1__3[[#This Row],[Date]] &gt;= Table1__3[[#This Row],[Start_Date]], Table1__3[[#This Row],[Date]] &lt;= Table1__3[[#This Row],[End_Date]]), "During",
   "After"))</f>
        <v>After</v>
      </c>
      <c r="S209" s="31"/>
      <c r="T209" s="31"/>
    </row>
    <row r="210" spans="1:20">
      <c r="A210" s="4" t="s">
        <v>243</v>
      </c>
      <c r="B210" s="4" t="s">
        <v>22</v>
      </c>
      <c r="C210" s="92">
        <v>45492</v>
      </c>
      <c r="D210" s="4" t="s">
        <v>23</v>
      </c>
      <c r="E210" s="4" t="s">
        <v>31</v>
      </c>
      <c r="F210">
        <v>3071</v>
      </c>
      <c r="G210">
        <v>126</v>
      </c>
      <c r="H210">
        <v>200</v>
      </c>
      <c r="I210">
        <v>44013</v>
      </c>
      <c r="J210">
        <v>44679</v>
      </c>
      <c r="K210">
        <v>118</v>
      </c>
      <c r="L210" s="4" t="s">
        <v>19</v>
      </c>
      <c r="M210" s="4" t="s">
        <v>363</v>
      </c>
      <c r="N210" s="4" t="s">
        <v>16</v>
      </c>
      <c r="O210" s="33">
        <f t="shared" si="3"/>
        <v>7.7181741758116915E-2</v>
      </c>
      <c r="P210" s="92">
        <f>(_xlfn.XLOOKUP(Table1__3[[#This Row],[Campaign_Name]],Table3[Campaign_Name],Table3[Start_Date]))</f>
        <v>45667</v>
      </c>
      <c r="Q210" s="92">
        <f>(_xlfn.XLOOKUP(Table1__3[[#This Row],[Campaign_Name]],Table3[Campaign_Name],Table3[End_Date]))</f>
        <v>45698</v>
      </c>
      <c r="R210" s="4" t="str">
        <f>IF(Table1__3[[#This Row],[Date]] &lt; Table1__3[[#This Row],[Start_Date]], "Before",
   IF(AND(Table1__3[[#This Row],[Date]] &gt;= Table1__3[[#This Row],[Start_Date]], Table1__3[[#This Row],[Date]] &lt;= Table1__3[[#This Row],[End_Date]]), "During",
   "After"))</f>
        <v>Before</v>
      </c>
      <c r="S210" s="31"/>
      <c r="T210" s="31"/>
    </row>
    <row r="211" spans="1:20">
      <c r="A211" s="4" t="s">
        <v>244</v>
      </c>
      <c r="B211" s="4" t="s">
        <v>22</v>
      </c>
      <c r="C211" s="92">
        <v>45780</v>
      </c>
      <c r="D211" s="4" t="s">
        <v>23</v>
      </c>
      <c r="E211" s="4" t="s">
        <v>36</v>
      </c>
      <c r="F211">
        <v>1010</v>
      </c>
      <c r="G211">
        <v>361</v>
      </c>
      <c r="H211">
        <v>240</v>
      </c>
      <c r="I211">
        <v>47229</v>
      </c>
      <c r="J211">
        <v>72573</v>
      </c>
      <c r="K211">
        <v>275</v>
      </c>
      <c r="L211" s="4" t="s">
        <v>40</v>
      </c>
      <c r="M211" s="4" t="s">
        <v>37</v>
      </c>
      <c r="N211" s="4" t="s">
        <v>16</v>
      </c>
      <c r="O211" s="33">
        <f t="shared" si="3"/>
        <v>3.4110398272247981E-2</v>
      </c>
      <c r="P211" s="92">
        <f>(_xlfn.XLOOKUP(Table1__3[[#This Row],[Campaign_Name]],Table3[Campaign_Name],Table3[Start_Date]))</f>
        <v>45667</v>
      </c>
      <c r="Q211" s="92">
        <f>(_xlfn.XLOOKUP(Table1__3[[#This Row],[Campaign_Name]],Table3[Campaign_Name],Table3[End_Date]))</f>
        <v>45698</v>
      </c>
      <c r="R211" s="4" t="str">
        <f>IF(Table1__3[[#This Row],[Date]] &lt; Table1__3[[#This Row],[Start_Date]], "Before",
   IF(AND(Table1__3[[#This Row],[Date]] &gt;= Table1__3[[#This Row],[Start_Date]], Table1__3[[#This Row],[Date]] &lt;= Table1__3[[#This Row],[End_Date]]), "During",
   "After"))</f>
        <v>After</v>
      </c>
      <c r="S211" s="31"/>
      <c r="T211" s="31"/>
    </row>
    <row r="212" spans="1:20">
      <c r="A212" s="4" t="s">
        <v>245</v>
      </c>
      <c r="B212" s="4" t="s">
        <v>22</v>
      </c>
      <c r="C212" s="92">
        <v>45396</v>
      </c>
      <c r="D212" s="4" t="s">
        <v>23</v>
      </c>
      <c r="E212" s="4" t="s">
        <v>15</v>
      </c>
      <c r="F212">
        <v>1295</v>
      </c>
      <c r="G212">
        <v>153</v>
      </c>
      <c r="H212">
        <v>81</v>
      </c>
      <c r="I212">
        <v>48350</v>
      </c>
      <c r="J212">
        <v>61033</v>
      </c>
      <c r="K212">
        <v>232</v>
      </c>
      <c r="L212" s="4" t="s">
        <v>19</v>
      </c>
      <c r="M212" s="4" t="s">
        <v>363</v>
      </c>
      <c r="N212" s="4" t="s">
        <v>16</v>
      </c>
      <c r="O212" s="33">
        <f t="shared" si="3"/>
        <v>3.1623578076525334E-2</v>
      </c>
      <c r="P212" s="92">
        <f>(_xlfn.XLOOKUP(Table1__3[[#This Row],[Campaign_Name]],Table3[Campaign_Name],Table3[Start_Date]))</f>
        <v>45667</v>
      </c>
      <c r="Q212" s="92">
        <f>(_xlfn.XLOOKUP(Table1__3[[#This Row],[Campaign_Name]],Table3[Campaign_Name],Table3[End_Date]))</f>
        <v>45698</v>
      </c>
      <c r="R212" s="4" t="str">
        <f>IF(Table1__3[[#This Row],[Date]] &lt; Table1__3[[#This Row],[Start_Date]], "Before",
   IF(AND(Table1__3[[#This Row],[Date]] &gt;= Table1__3[[#This Row],[Start_Date]], Table1__3[[#This Row],[Date]] &lt;= Table1__3[[#This Row],[End_Date]]), "During",
   "After"))</f>
        <v>Before</v>
      </c>
      <c r="S212" s="31"/>
      <c r="T212" s="31"/>
    </row>
    <row r="213" spans="1:20">
      <c r="A213" s="4" t="s">
        <v>246</v>
      </c>
      <c r="B213" s="4" t="s">
        <v>22</v>
      </c>
      <c r="C213" s="92">
        <v>45827</v>
      </c>
      <c r="D213" s="4" t="s">
        <v>23</v>
      </c>
      <c r="E213" s="4" t="s">
        <v>31</v>
      </c>
      <c r="F213">
        <v>1433</v>
      </c>
      <c r="G213">
        <v>452</v>
      </c>
      <c r="H213">
        <v>305</v>
      </c>
      <c r="I213">
        <v>54541</v>
      </c>
      <c r="J213">
        <v>63700</v>
      </c>
      <c r="K213">
        <v>296</v>
      </c>
      <c r="L213" s="4" t="s">
        <v>19</v>
      </c>
      <c r="M213" s="4" t="s">
        <v>363</v>
      </c>
      <c r="N213" s="4" t="s">
        <v>16</v>
      </c>
      <c r="O213" s="33">
        <f t="shared" si="3"/>
        <v>4.0153279184466734E-2</v>
      </c>
      <c r="P213" s="92">
        <f>(_xlfn.XLOOKUP(Table1__3[[#This Row],[Campaign_Name]],Table3[Campaign_Name],Table3[Start_Date]))</f>
        <v>45667</v>
      </c>
      <c r="Q213" s="92">
        <f>(_xlfn.XLOOKUP(Table1__3[[#This Row],[Campaign_Name]],Table3[Campaign_Name],Table3[End_Date]))</f>
        <v>45698</v>
      </c>
      <c r="R213" s="4" t="str">
        <f>IF(Table1__3[[#This Row],[Date]] &lt; Table1__3[[#This Row],[Start_Date]], "Before",
   IF(AND(Table1__3[[#This Row],[Date]] &gt;= Table1__3[[#This Row],[Start_Date]], Table1__3[[#This Row],[Date]] &lt;= Table1__3[[#This Row],[End_Date]]), "During",
   "After"))</f>
        <v>After</v>
      </c>
      <c r="S213" s="31"/>
      <c r="T213" s="31"/>
    </row>
    <row r="214" spans="1:20">
      <c r="A214" s="4" t="s">
        <v>247</v>
      </c>
      <c r="B214" s="4" t="s">
        <v>13</v>
      </c>
      <c r="C214" s="92">
        <v>45832</v>
      </c>
      <c r="D214" s="4" t="s">
        <v>23</v>
      </c>
      <c r="E214" s="4" t="s">
        <v>33</v>
      </c>
      <c r="F214">
        <v>4902</v>
      </c>
      <c r="G214">
        <v>422</v>
      </c>
      <c r="H214">
        <v>376</v>
      </c>
      <c r="I214">
        <v>31674</v>
      </c>
      <c r="J214">
        <v>53225</v>
      </c>
      <c r="K214">
        <v>147</v>
      </c>
      <c r="L214" s="4" t="s">
        <v>37</v>
      </c>
      <c r="M214" s="4"/>
      <c r="N214" s="4" t="s">
        <v>50</v>
      </c>
      <c r="O214" s="33">
        <f t="shared" si="3"/>
        <v>0.17995832544042431</v>
      </c>
      <c r="P214" s="92">
        <f>(_xlfn.XLOOKUP(Table1__3[[#This Row],[Campaign_Name]],Table3[Campaign_Name],Table3[Start_Date]))</f>
        <v>45627</v>
      </c>
      <c r="Q214" s="92">
        <f>(_xlfn.XLOOKUP(Table1__3[[#This Row],[Campaign_Name]],Table3[Campaign_Name],Table3[End_Date]))</f>
        <v>45657</v>
      </c>
      <c r="R214" s="4" t="str">
        <f>IF(Table1__3[[#This Row],[Date]] &lt; Table1__3[[#This Row],[Start_Date]], "Before",
   IF(AND(Table1__3[[#This Row],[Date]] &gt;= Table1__3[[#This Row],[Start_Date]], Table1__3[[#This Row],[Date]] &lt;= Table1__3[[#This Row],[End_Date]]), "During",
   "After"))</f>
        <v>After</v>
      </c>
      <c r="S214" s="31"/>
      <c r="T214" s="31"/>
    </row>
    <row r="215" spans="1:20">
      <c r="A215" s="4" t="s">
        <v>248</v>
      </c>
      <c r="B215" s="4" t="s">
        <v>22</v>
      </c>
      <c r="C215" s="92">
        <v>45574</v>
      </c>
      <c r="D215" s="4" t="s">
        <v>14</v>
      </c>
      <c r="E215" s="4" t="s">
        <v>26</v>
      </c>
      <c r="F215">
        <v>2659</v>
      </c>
      <c r="G215">
        <v>167</v>
      </c>
      <c r="H215">
        <v>73</v>
      </c>
      <c r="I215">
        <v>23090</v>
      </c>
      <c r="J215">
        <v>25872</v>
      </c>
      <c r="K215">
        <v>293</v>
      </c>
      <c r="L215" s="4" t="s">
        <v>40</v>
      </c>
      <c r="M215" s="4"/>
      <c r="N215" s="4" t="s">
        <v>20</v>
      </c>
      <c r="O215" s="33">
        <f t="shared" si="3"/>
        <v>0.12555218709398008</v>
      </c>
      <c r="P215" s="92">
        <f>(_xlfn.XLOOKUP(Table1__3[[#This Row],[Campaign_Name]],Table3[Campaign_Name],Table3[Start_Date]))</f>
        <v>45717</v>
      </c>
      <c r="Q215" s="92">
        <f>(_xlfn.XLOOKUP(Table1__3[[#This Row],[Campaign_Name]],Table3[Campaign_Name],Table3[End_Date]))</f>
        <v>45747</v>
      </c>
      <c r="R215" s="4" t="str">
        <f>IF(Table1__3[[#This Row],[Date]] &lt; Table1__3[[#This Row],[Start_Date]], "Before",
   IF(AND(Table1__3[[#This Row],[Date]] &gt;= Table1__3[[#This Row],[Start_Date]], Table1__3[[#This Row],[Date]] &lt;= Table1__3[[#This Row],[End_Date]]), "During",
   "After"))</f>
        <v>Before</v>
      </c>
      <c r="S215" s="31"/>
      <c r="T215" s="31"/>
    </row>
    <row r="216" spans="1:20">
      <c r="A216" s="4" t="s">
        <v>249</v>
      </c>
      <c r="B216" s="4" t="s">
        <v>28</v>
      </c>
      <c r="C216" s="92">
        <v>45672</v>
      </c>
      <c r="D216" s="4" t="s">
        <v>14</v>
      </c>
      <c r="E216" s="4" t="s">
        <v>46</v>
      </c>
      <c r="F216">
        <v>2599</v>
      </c>
      <c r="G216">
        <v>324</v>
      </c>
      <c r="H216">
        <v>182</v>
      </c>
      <c r="I216">
        <v>37525</v>
      </c>
      <c r="J216">
        <v>37216</v>
      </c>
      <c r="K216">
        <v>186</v>
      </c>
      <c r="L216" s="4" t="s">
        <v>19</v>
      </c>
      <c r="M216" s="4" t="s">
        <v>364</v>
      </c>
      <c r="N216" s="4" t="s">
        <v>20</v>
      </c>
      <c r="O216" s="33">
        <f t="shared" si="3"/>
        <v>8.2744836775483013E-2</v>
      </c>
      <c r="P216" s="92">
        <f>(_xlfn.XLOOKUP(Table1__3[[#This Row],[Campaign_Name]],Table3[Campaign_Name],Table3[Start_Date]))</f>
        <v>45717</v>
      </c>
      <c r="Q216" s="92">
        <f>(_xlfn.XLOOKUP(Table1__3[[#This Row],[Campaign_Name]],Table3[Campaign_Name],Table3[End_Date]))</f>
        <v>45747</v>
      </c>
      <c r="R216" s="4" t="str">
        <f>IF(Table1__3[[#This Row],[Date]] &lt; Table1__3[[#This Row],[Start_Date]], "Before",
   IF(AND(Table1__3[[#This Row],[Date]] &gt;= Table1__3[[#This Row],[Start_Date]], Table1__3[[#This Row],[Date]] &lt;= Table1__3[[#This Row],[End_Date]]), "During",
   "After"))</f>
        <v>Before</v>
      </c>
      <c r="S216" s="31"/>
      <c r="T216" s="31"/>
    </row>
    <row r="217" spans="1:20">
      <c r="A217" s="4" t="s">
        <v>250</v>
      </c>
      <c r="B217" s="4" t="s">
        <v>22</v>
      </c>
      <c r="C217" s="92">
        <v>45669</v>
      </c>
      <c r="D217" s="4" t="s">
        <v>14</v>
      </c>
      <c r="E217" s="4" t="s">
        <v>29</v>
      </c>
      <c r="F217">
        <v>1765</v>
      </c>
      <c r="G217">
        <v>285</v>
      </c>
      <c r="H217">
        <v>100</v>
      </c>
      <c r="I217">
        <v>41313</v>
      </c>
      <c r="J217">
        <v>56575</v>
      </c>
      <c r="K217">
        <v>174</v>
      </c>
      <c r="L217" s="4" t="s">
        <v>40</v>
      </c>
      <c r="M217" s="4"/>
      <c r="N217" s="4" t="s">
        <v>20</v>
      </c>
      <c r="O217" s="33">
        <f t="shared" si="3"/>
        <v>5.2041730205988429E-2</v>
      </c>
      <c r="P217" s="92">
        <f>(_xlfn.XLOOKUP(Table1__3[[#This Row],[Campaign_Name]],Table3[Campaign_Name],Table3[Start_Date]))</f>
        <v>45717</v>
      </c>
      <c r="Q217" s="92">
        <f>(_xlfn.XLOOKUP(Table1__3[[#This Row],[Campaign_Name]],Table3[Campaign_Name],Table3[End_Date]))</f>
        <v>45747</v>
      </c>
      <c r="R217" s="4" t="str">
        <f>IF(Table1__3[[#This Row],[Date]] &lt; Table1__3[[#This Row],[Start_Date]], "Before",
   IF(AND(Table1__3[[#This Row],[Date]] &gt;= Table1__3[[#This Row],[Start_Date]], Table1__3[[#This Row],[Date]] &lt;= Table1__3[[#This Row],[End_Date]]), "During",
   "After"))</f>
        <v>Before</v>
      </c>
      <c r="S217" s="31"/>
      <c r="T217" s="31"/>
    </row>
    <row r="218" spans="1:20">
      <c r="A218" s="4" t="s">
        <v>251</v>
      </c>
      <c r="B218" s="4" t="s">
        <v>13</v>
      </c>
      <c r="C218" s="92">
        <v>45808</v>
      </c>
      <c r="D218" s="4" t="s">
        <v>14</v>
      </c>
      <c r="E218" s="4" t="s">
        <v>31</v>
      </c>
      <c r="F218">
        <v>2169</v>
      </c>
      <c r="G218">
        <v>240</v>
      </c>
      <c r="H218">
        <v>57</v>
      </c>
      <c r="I218">
        <v>26109</v>
      </c>
      <c r="J218">
        <v>46667</v>
      </c>
      <c r="K218">
        <v>133</v>
      </c>
      <c r="L218" s="4" t="s">
        <v>40</v>
      </c>
      <c r="M218" s="4" t="s">
        <v>37</v>
      </c>
      <c r="N218" s="4" t="s">
        <v>16</v>
      </c>
      <c r="O218" s="33">
        <f t="shared" si="3"/>
        <v>9.4450189589796618E-2</v>
      </c>
      <c r="P218" s="92">
        <f>(_xlfn.XLOOKUP(Table1__3[[#This Row],[Campaign_Name]],Table3[Campaign_Name],Table3[Start_Date]))</f>
        <v>45667</v>
      </c>
      <c r="Q218" s="92">
        <f>(_xlfn.XLOOKUP(Table1__3[[#This Row],[Campaign_Name]],Table3[Campaign_Name],Table3[End_Date]))</f>
        <v>45698</v>
      </c>
      <c r="R218" s="4" t="str">
        <f>IF(Table1__3[[#This Row],[Date]] &lt; Table1__3[[#This Row],[Start_Date]], "Before",
   IF(AND(Table1__3[[#This Row],[Date]] &gt;= Table1__3[[#This Row],[Start_Date]], Table1__3[[#This Row],[Date]] &lt;= Table1__3[[#This Row],[End_Date]]), "During",
   "After"))</f>
        <v>After</v>
      </c>
      <c r="S218" s="31"/>
      <c r="T218" s="31"/>
    </row>
    <row r="219" spans="1:20">
      <c r="A219" s="4" t="s">
        <v>252</v>
      </c>
      <c r="B219" s="4" t="s">
        <v>22</v>
      </c>
      <c r="C219" s="92">
        <v>45579</v>
      </c>
      <c r="D219" s="4" t="s">
        <v>23</v>
      </c>
      <c r="E219" s="4" t="s">
        <v>18</v>
      </c>
      <c r="F219">
        <v>4303</v>
      </c>
      <c r="G219">
        <v>306</v>
      </c>
      <c r="H219">
        <v>302</v>
      </c>
      <c r="I219">
        <v>39575</v>
      </c>
      <c r="J219">
        <v>33762</v>
      </c>
      <c r="K219">
        <v>265</v>
      </c>
      <c r="L219" s="4" t="s">
        <v>19</v>
      </c>
      <c r="M219" s="4" t="s">
        <v>363</v>
      </c>
      <c r="N219" s="4" t="s">
        <v>16</v>
      </c>
      <c r="O219" s="33">
        <f t="shared" si="3"/>
        <v>0.12409349336702463</v>
      </c>
      <c r="P219" s="92">
        <f>(_xlfn.XLOOKUP(Table1__3[[#This Row],[Campaign_Name]],Table3[Campaign_Name],Table3[Start_Date]))</f>
        <v>45667</v>
      </c>
      <c r="Q219" s="92">
        <f>(_xlfn.XLOOKUP(Table1__3[[#This Row],[Campaign_Name]],Table3[Campaign_Name],Table3[End_Date]))</f>
        <v>45698</v>
      </c>
      <c r="R219" s="4" t="str">
        <f>IF(Table1__3[[#This Row],[Date]] &lt; Table1__3[[#This Row],[Start_Date]], "Before",
   IF(AND(Table1__3[[#This Row],[Date]] &gt;= Table1__3[[#This Row],[Start_Date]], Table1__3[[#This Row],[Date]] &lt;= Table1__3[[#This Row],[End_Date]]), "During",
   "After"))</f>
        <v>Before</v>
      </c>
      <c r="S219" s="31"/>
      <c r="T219" s="31"/>
    </row>
    <row r="220" spans="1:20">
      <c r="A220" s="4" t="s">
        <v>253</v>
      </c>
      <c r="B220" s="4" t="s">
        <v>22</v>
      </c>
      <c r="C220" s="92">
        <v>45332</v>
      </c>
      <c r="D220" s="4" t="s">
        <v>14</v>
      </c>
      <c r="E220" s="4" t="s">
        <v>44</v>
      </c>
      <c r="F220">
        <v>1519</v>
      </c>
      <c r="G220">
        <v>456</v>
      </c>
      <c r="H220">
        <v>379</v>
      </c>
      <c r="I220">
        <v>51611</v>
      </c>
      <c r="J220">
        <v>45880</v>
      </c>
      <c r="K220">
        <v>176</v>
      </c>
      <c r="L220" s="4" t="s">
        <v>40</v>
      </c>
      <c r="M220" s="4"/>
      <c r="N220" s="4" t="s">
        <v>20</v>
      </c>
      <c r="O220" s="33">
        <f t="shared" si="3"/>
        <v>4.5610431884675749E-2</v>
      </c>
      <c r="P220" s="92">
        <f>(_xlfn.XLOOKUP(Table1__3[[#This Row],[Campaign_Name]],Table3[Campaign_Name],Table3[Start_Date]))</f>
        <v>45717</v>
      </c>
      <c r="Q220" s="92">
        <f>(_xlfn.XLOOKUP(Table1__3[[#This Row],[Campaign_Name]],Table3[Campaign_Name],Table3[End_Date]))</f>
        <v>45747</v>
      </c>
      <c r="R220" s="4" t="str">
        <f>IF(Table1__3[[#This Row],[Date]] &lt; Table1__3[[#This Row],[Start_Date]], "Before",
   IF(AND(Table1__3[[#This Row],[Date]] &gt;= Table1__3[[#This Row],[Start_Date]], Table1__3[[#This Row],[Date]] &lt;= Table1__3[[#This Row],[End_Date]]), "During",
   "After"))</f>
        <v>Before</v>
      </c>
      <c r="S220" s="31"/>
      <c r="T220" s="31"/>
    </row>
    <row r="221" spans="1:20">
      <c r="A221" s="4" t="s">
        <v>254</v>
      </c>
      <c r="B221" s="4" t="s">
        <v>28</v>
      </c>
      <c r="C221" s="92">
        <v>45636</v>
      </c>
      <c r="D221" s="4" t="s">
        <v>14</v>
      </c>
      <c r="E221" s="4" t="s">
        <v>31</v>
      </c>
      <c r="F221">
        <v>2569</v>
      </c>
      <c r="G221">
        <v>140</v>
      </c>
      <c r="H221">
        <v>375</v>
      </c>
      <c r="I221">
        <v>38372</v>
      </c>
      <c r="J221">
        <v>22102</v>
      </c>
      <c r="K221">
        <v>255</v>
      </c>
      <c r="L221" s="4" t="s">
        <v>19</v>
      </c>
      <c r="M221" s="4" t="s">
        <v>364</v>
      </c>
      <c r="N221" s="4" t="s">
        <v>20</v>
      </c>
      <c r="O221" s="33">
        <f t="shared" si="3"/>
        <v>8.0371103929948923E-2</v>
      </c>
      <c r="P221" s="92">
        <f>(_xlfn.XLOOKUP(Table1__3[[#This Row],[Campaign_Name]],Table3[Campaign_Name],Table3[Start_Date]))</f>
        <v>45717</v>
      </c>
      <c r="Q221" s="92">
        <f>(_xlfn.XLOOKUP(Table1__3[[#This Row],[Campaign_Name]],Table3[Campaign_Name],Table3[End_Date]))</f>
        <v>45747</v>
      </c>
      <c r="R221" s="4" t="str">
        <f>IF(Table1__3[[#This Row],[Date]] &lt; Table1__3[[#This Row],[Start_Date]], "Before",
   IF(AND(Table1__3[[#This Row],[Date]] &gt;= Table1__3[[#This Row],[Start_Date]], Table1__3[[#This Row],[Date]] &lt;= Table1__3[[#This Row],[End_Date]]), "During",
   "After"))</f>
        <v>Before</v>
      </c>
      <c r="S221" s="31"/>
      <c r="T221" s="31"/>
    </row>
    <row r="222" spans="1:20">
      <c r="A222" s="4" t="s">
        <v>255</v>
      </c>
      <c r="B222" s="4" t="s">
        <v>22</v>
      </c>
      <c r="C222" s="92">
        <v>45786</v>
      </c>
      <c r="D222" s="4" t="s">
        <v>23</v>
      </c>
      <c r="E222" s="4" t="s">
        <v>29</v>
      </c>
      <c r="F222">
        <v>2778</v>
      </c>
      <c r="G222">
        <v>241</v>
      </c>
      <c r="H222">
        <v>317</v>
      </c>
      <c r="I222">
        <v>26247</v>
      </c>
      <c r="J222">
        <v>20677</v>
      </c>
      <c r="K222">
        <v>282</v>
      </c>
      <c r="L222" s="4" t="s">
        <v>363</v>
      </c>
      <c r="M222" s="4" t="s">
        <v>37</v>
      </c>
      <c r="N222" s="4" t="s">
        <v>16</v>
      </c>
      <c r="O222" s="33">
        <f t="shared" si="3"/>
        <v>0.1271002400274317</v>
      </c>
      <c r="P222" s="92">
        <f>(_xlfn.XLOOKUP(Table1__3[[#This Row],[Campaign_Name]],Table3[Campaign_Name],Table3[Start_Date]))</f>
        <v>45667</v>
      </c>
      <c r="Q222" s="92">
        <f>(_xlfn.XLOOKUP(Table1__3[[#This Row],[Campaign_Name]],Table3[Campaign_Name],Table3[End_Date]))</f>
        <v>45698</v>
      </c>
      <c r="R222" s="4" t="str">
        <f>IF(Table1__3[[#This Row],[Date]] &lt; Table1__3[[#This Row],[Start_Date]], "Before",
   IF(AND(Table1__3[[#This Row],[Date]] &gt;= Table1__3[[#This Row],[Start_Date]], Table1__3[[#This Row],[Date]] &lt;= Table1__3[[#This Row],[End_Date]]), "During",
   "After"))</f>
        <v>After</v>
      </c>
      <c r="S222" s="31"/>
      <c r="T222" s="31"/>
    </row>
    <row r="223" spans="1:20">
      <c r="A223" s="4" t="s">
        <v>256</v>
      </c>
      <c r="B223" s="4" t="s">
        <v>22</v>
      </c>
      <c r="C223" s="92">
        <v>45829</v>
      </c>
      <c r="D223" s="4" t="s">
        <v>14</v>
      </c>
      <c r="E223" s="4" t="s">
        <v>18</v>
      </c>
      <c r="F223">
        <v>3611</v>
      </c>
      <c r="G223">
        <v>127</v>
      </c>
      <c r="H223">
        <v>139</v>
      </c>
      <c r="I223">
        <v>44768</v>
      </c>
      <c r="J223">
        <v>29435</v>
      </c>
      <c r="K223">
        <v>178</v>
      </c>
      <c r="L223" s="4" t="s">
        <v>37</v>
      </c>
      <c r="M223" s="4"/>
      <c r="N223" s="4" t="s">
        <v>16</v>
      </c>
      <c r="O223" s="33">
        <f t="shared" si="3"/>
        <v>8.6602037169406718E-2</v>
      </c>
      <c r="P223" s="92">
        <f>(_xlfn.XLOOKUP(Table1__3[[#This Row],[Campaign_Name]],Table3[Campaign_Name],Table3[Start_Date]))</f>
        <v>45667</v>
      </c>
      <c r="Q223" s="92">
        <f>(_xlfn.XLOOKUP(Table1__3[[#This Row],[Campaign_Name]],Table3[Campaign_Name],Table3[End_Date]))</f>
        <v>45698</v>
      </c>
      <c r="R223" s="4" t="str">
        <f>IF(Table1__3[[#This Row],[Date]] &lt; Table1__3[[#This Row],[Start_Date]], "Before",
   IF(AND(Table1__3[[#This Row],[Date]] &gt;= Table1__3[[#This Row],[Start_Date]], Table1__3[[#This Row],[Date]] &lt;= Table1__3[[#This Row],[End_Date]]), "During",
   "After"))</f>
        <v>After</v>
      </c>
      <c r="S223" s="31"/>
      <c r="T223" s="31"/>
    </row>
    <row r="224" spans="1:20">
      <c r="A224" s="4" t="s">
        <v>257</v>
      </c>
      <c r="B224" s="4" t="s">
        <v>22</v>
      </c>
      <c r="C224" s="92">
        <v>45462</v>
      </c>
      <c r="D224" s="4" t="s">
        <v>14</v>
      </c>
      <c r="E224" s="4" t="s">
        <v>31</v>
      </c>
      <c r="F224">
        <v>1224</v>
      </c>
      <c r="G224">
        <v>168</v>
      </c>
      <c r="H224">
        <v>199</v>
      </c>
      <c r="I224">
        <v>54232</v>
      </c>
      <c r="J224">
        <v>52844</v>
      </c>
      <c r="K224">
        <v>271</v>
      </c>
      <c r="L224" s="4" t="s">
        <v>40</v>
      </c>
      <c r="M224" s="4"/>
      <c r="N224" s="4" t="s">
        <v>20</v>
      </c>
      <c r="O224" s="33">
        <f t="shared" si="3"/>
        <v>2.9336922849977874E-2</v>
      </c>
      <c r="P224" s="92">
        <f>(_xlfn.XLOOKUP(Table1__3[[#This Row],[Campaign_Name]],Table3[Campaign_Name],Table3[Start_Date]))</f>
        <v>45717</v>
      </c>
      <c r="Q224" s="92">
        <f>(_xlfn.XLOOKUP(Table1__3[[#This Row],[Campaign_Name]],Table3[Campaign_Name],Table3[End_Date]))</f>
        <v>45747</v>
      </c>
      <c r="R224" s="4" t="str">
        <f>IF(Table1__3[[#This Row],[Date]] &lt; Table1__3[[#This Row],[Start_Date]], "Before",
   IF(AND(Table1__3[[#This Row],[Date]] &gt;= Table1__3[[#This Row],[Start_Date]], Table1__3[[#This Row],[Date]] &lt;= Table1__3[[#This Row],[End_Date]]), "During",
   "After"))</f>
        <v>Before</v>
      </c>
      <c r="S224" s="31"/>
      <c r="T224" s="31"/>
    </row>
    <row r="225" spans="1:20">
      <c r="A225" s="4" t="s">
        <v>258</v>
      </c>
      <c r="B225" s="4" t="s">
        <v>22</v>
      </c>
      <c r="C225" s="92">
        <v>45636</v>
      </c>
      <c r="D225" s="4" t="s">
        <v>14</v>
      </c>
      <c r="E225" s="4" t="s">
        <v>44</v>
      </c>
      <c r="F225">
        <v>4673</v>
      </c>
      <c r="G225">
        <v>270</v>
      </c>
      <c r="H225">
        <v>93</v>
      </c>
      <c r="I225">
        <v>45260</v>
      </c>
      <c r="J225">
        <v>57513</v>
      </c>
      <c r="K225">
        <v>103</v>
      </c>
      <c r="L225" s="4" t="s">
        <v>37</v>
      </c>
      <c r="M225" s="4"/>
      <c r="N225" s="4" t="s">
        <v>16</v>
      </c>
      <c r="O225" s="33">
        <f t="shared" si="3"/>
        <v>0.11126822801590809</v>
      </c>
      <c r="P225" s="92">
        <f>(_xlfn.XLOOKUP(Table1__3[[#This Row],[Campaign_Name]],Table3[Campaign_Name],Table3[Start_Date]))</f>
        <v>45667</v>
      </c>
      <c r="Q225" s="92">
        <f>(_xlfn.XLOOKUP(Table1__3[[#This Row],[Campaign_Name]],Table3[Campaign_Name],Table3[End_Date]))</f>
        <v>45698</v>
      </c>
      <c r="R225" s="4" t="str">
        <f>IF(Table1__3[[#This Row],[Date]] &lt; Table1__3[[#This Row],[Start_Date]], "Before",
   IF(AND(Table1__3[[#This Row],[Date]] &gt;= Table1__3[[#This Row],[Start_Date]], Table1__3[[#This Row],[Date]] &lt;= Table1__3[[#This Row],[End_Date]]), "During",
   "After"))</f>
        <v>Before</v>
      </c>
      <c r="S225" s="31"/>
      <c r="T225" s="31"/>
    </row>
    <row r="226" spans="1:20">
      <c r="A226" s="4" t="s">
        <v>259</v>
      </c>
      <c r="B226" s="4" t="s">
        <v>28</v>
      </c>
      <c r="C226" s="92">
        <v>45323</v>
      </c>
      <c r="D226" s="4" t="s">
        <v>14</v>
      </c>
      <c r="E226" s="4" t="s">
        <v>26</v>
      </c>
      <c r="F226">
        <v>1432</v>
      </c>
      <c r="G226">
        <v>437</v>
      </c>
      <c r="H226">
        <v>267</v>
      </c>
      <c r="I226">
        <v>40634</v>
      </c>
      <c r="J226">
        <v>54511</v>
      </c>
      <c r="K226">
        <v>197</v>
      </c>
      <c r="L226" s="4" t="s">
        <v>19</v>
      </c>
      <c r="M226" s="4" t="s">
        <v>364</v>
      </c>
      <c r="N226" s="4" t="s">
        <v>20</v>
      </c>
      <c r="O226" s="33">
        <f t="shared" si="3"/>
        <v>5.2566815966924252E-2</v>
      </c>
      <c r="P226" s="92">
        <f>(_xlfn.XLOOKUP(Table1__3[[#This Row],[Campaign_Name]],Table3[Campaign_Name],Table3[Start_Date]))</f>
        <v>45717</v>
      </c>
      <c r="Q226" s="92">
        <f>(_xlfn.XLOOKUP(Table1__3[[#This Row],[Campaign_Name]],Table3[Campaign_Name],Table3[End_Date]))</f>
        <v>45747</v>
      </c>
      <c r="R226" s="4" t="str">
        <f>IF(Table1__3[[#This Row],[Date]] &lt; Table1__3[[#This Row],[Start_Date]], "Before",
   IF(AND(Table1__3[[#This Row],[Date]] &gt;= Table1__3[[#This Row],[Start_Date]], Table1__3[[#This Row],[Date]] &lt;= Table1__3[[#This Row],[End_Date]]), "During",
   "After"))</f>
        <v>Before</v>
      </c>
      <c r="S226" s="31"/>
      <c r="T226" s="31"/>
    </row>
    <row r="227" spans="1:20">
      <c r="A227" s="4" t="s">
        <v>260</v>
      </c>
      <c r="B227" s="4" t="s">
        <v>22</v>
      </c>
      <c r="C227" s="92">
        <v>45308</v>
      </c>
      <c r="D227" s="4" t="s">
        <v>23</v>
      </c>
      <c r="E227" s="4" t="s">
        <v>24</v>
      </c>
      <c r="F227">
        <v>2174</v>
      </c>
      <c r="G227">
        <v>499</v>
      </c>
      <c r="H227">
        <v>212</v>
      </c>
      <c r="I227">
        <v>54938</v>
      </c>
      <c r="J227">
        <v>27190</v>
      </c>
      <c r="K227">
        <v>265</v>
      </c>
      <c r="L227" s="4" t="s">
        <v>363</v>
      </c>
      <c r="M227" s="4" t="s">
        <v>37</v>
      </c>
      <c r="N227" s="4" t="s">
        <v>16</v>
      </c>
      <c r="O227" s="33">
        <f t="shared" si="3"/>
        <v>5.2513742764570971E-2</v>
      </c>
      <c r="P227" s="92">
        <f>(_xlfn.XLOOKUP(Table1__3[[#This Row],[Campaign_Name]],Table3[Campaign_Name],Table3[Start_Date]))</f>
        <v>45667</v>
      </c>
      <c r="Q227" s="92">
        <f>(_xlfn.XLOOKUP(Table1__3[[#This Row],[Campaign_Name]],Table3[Campaign_Name],Table3[End_Date]))</f>
        <v>45698</v>
      </c>
      <c r="R227" s="4" t="str">
        <f>IF(Table1__3[[#This Row],[Date]] &lt; Table1__3[[#This Row],[Start_Date]], "Before",
   IF(AND(Table1__3[[#This Row],[Date]] &gt;= Table1__3[[#This Row],[Start_Date]], Table1__3[[#This Row],[Date]] &lt;= Table1__3[[#This Row],[End_Date]]), "During",
   "After"))</f>
        <v>Before</v>
      </c>
      <c r="S227" s="31"/>
      <c r="T227" s="31"/>
    </row>
    <row r="228" spans="1:20">
      <c r="A228" s="4" t="s">
        <v>261</v>
      </c>
      <c r="B228" s="4" t="s">
        <v>28</v>
      </c>
      <c r="C228" s="92">
        <v>45738</v>
      </c>
      <c r="D228" s="4" t="s">
        <v>14</v>
      </c>
      <c r="E228" s="4" t="s">
        <v>29</v>
      </c>
      <c r="F228">
        <v>4308</v>
      </c>
      <c r="G228">
        <v>171</v>
      </c>
      <c r="H228">
        <v>106</v>
      </c>
      <c r="I228">
        <v>36955</v>
      </c>
      <c r="J228">
        <v>23949</v>
      </c>
      <c r="K228">
        <v>294</v>
      </c>
      <c r="L228" s="4" t="s">
        <v>19</v>
      </c>
      <c r="M228" s="4" t="s">
        <v>364</v>
      </c>
      <c r="N228" s="4" t="s">
        <v>20</v>
      </c>
      <c r="O228" s="33">
        <f t="shared" si="3"/>
        <v>0.12406981463942633</v>
      </c>
      <c r="P228" s="92">
        <f>(_xlfn.XLOOKUP(Table1__3[[#This Row],[Campaign_Name]],Table3[Campaign_Name],Table3[Start_Date]))</f>
        <v>45717</v>
      </c>
      <c r="Q228" s="92">
        <f>(_xlfn.XLOOKUP(Table1__3[[#This Row],[Campaign_Name]],Table3[Campaign_Name],Table3[End_Date]))</f>
        <v>45747</v>
      </c>
      <c r="R228" s="4" t="str">
        <f>IF(Table1__3[[#This Row],[Date]] &lt; Table1__3[[#This Row],[Start_Date]], "Before",
   IF(AND(Table1__3[[#This Row],[Date]] &gt;= Table1__3[[#This Row],[Start_Date]], Table1__3[[#This Row],[Date]] &lt;= Table1__3[[#This Row],[End_Date]]), "During",
   "After"))</f>
        <v>During</v>
      </c>
      <c r="S228" s="31"/>
      <c r="T228" s="31"/>
    </row>
    <row r="229" spans="1:20">
      <c r="A229" s="4" t="s">
        <v>262</v>
      </c>
      <c r="B229" s="4" t="s">
        <v>28</v>
      </c>
      <c r="C229" s="92">
        <v>45442</v>
      </c>
      <c r="D229" s="4" t="s">
        <v>52</v>
      </c>
      <c r="E229" s="4" t="s">
        <v>31</v>
      </c>
      <c r="F229">
        <v>1060</v>
      </c>
      <c r="G229">
        <v>442</v>
      </c>
      <c r="H229">
        <v>319</v>
      </c>
      <c r="I229">
        <v>57194</v>
      </c>
      <c r="J229">
        <v>24258</v>
      </c>
      <c r="K229">
        <v>101</v>
      </c>
      <c r="L229" s="4" t="s">
        <v>19</v>
      </c>
      <c r="M229" s="4" t="s">
        <v>40</v>
      </c>
      <c r="N229" s="4" t="s">
        <v>53</v>
      </c>
      <c r="O229" s="33">
        <f t="shared" si="3"/>
        <v>3.1839004091338254E-2</v>
      </c>
      <c r="P229" s="92">
        <f>(_xlfn.XLOOKUP(Table1__3[[#This Row],[Campaign_Name]],Table3[Campaign_Name],Table3[Start_Date]))</f>
        <v>45458</v>
      </c>
      <c r="Q229" s="92">
        <f>(_xlfn.XLOOKUP(Table1__3[[#This Row],[Campaign_Name]],Table3[Campaign_Name],Table3[End_Date]))</f>
        <v>45488</v>
      </c>
      <c r="R229" s="4" t="str">
        <f>IF(Table1__3[[#This Row],[Date]] &lt; Table1__3[[#This Row],[Start_Date]], "Before",
   IF(AND(Table1__3[[#This Row],[Date]] &gt;= Table1__3[[#This Row],[Start_Date]], Table1__3[[#This Row],[Date]] &lt;= Table1__3[[#This Row],[End_Date]]), "During",
   "After"))</f>
        <v>Before</v>
      </c>
      <c r="S229" s="31"/>
      <c r="T229" s="31"/>
    </row>
    <row r="230" spans="1:20">
      <c r="A230" s="4" t="s">
        <v>263</v>
      </c>
      <c r="B230" s="4" t="s">
        <v>28</v>
      </c>
      <c r="C230" s="92">
        <v>45346</v>
      </c>
      <c r="D230" s="4" t="s">
        <v>14</v>
      </c>
      <c r="E230" s="4" t="s">
        <v>29</v>
      </c>
      <c r="F230">
        <v>4653</v>
      </c>
      <c r="G230">
        <v>226</v>
      </c>
      <c r="H230">
        <v>349</v>
      </c>
      <c r="I230">
        <v>56876</v>
      </c>
      <c r="J230">
        <v>28452</v>
      </c>
      <c r="K230">
        <v>257</v>
      </c>
      <c r="L230" s="4" t="s">
        <v>19</v>
      </c>
      <c r="M230" s="4" t="s">
        <v>364</v>
      </c>
      <c r="N230" s="4" t="s">
        <v>20</v>
      </c>
      <c r="O230" s="33">
        <f t="shared" si="3"/>
        <v>9.191926295801392E-2</v>
      </c>
      <c r="P230" s="92">
        <f>(_xlfn.XLOOKUP(Table1__3[[#This Row],[Campaign_Name]],Table3[Campaign_Name],Table3[Start_Date]))</f>
        <v>45717</v>
      </c>
      <c r="Q230" s="92">
        <f>(_xlfn.XLOOKUP(Table1__3[[#This Row],[Campaign_Name]],Table3[Campaign_Name],Table3[End_Date]))</f>
        <v>45747</v>
      </c>
      <c r="R230" s="4" t="str">
        <f>IF(Table1__3[[#This Row],[Date]] &lt; Table1__3[[#This Row],[Start_Date]], "Before",
   IF(AND(Table1__3[[#This Row],[Date]] &gt;= Table1__3[[#This Row],[Start_Date]], Table1__3[[#This Row],[Date]] &lt;= Table1__3[[#This Row],[End_Date]]), "During",
   "After"))</f>
        <v>Before</v>
      </c>
      <c r="S230" s="31"/>
      <c r="T230" s="31"/>
    </row>
    <row r="231" spans="1:20">
      <c r="A231" s="4" t="s">
        <v>264</v>
      </c>
      <c r="B231" s="4" t="s">
        <v>28</v>
      </c>
      <c r="C231" s="92">
        <v>45791</v>
      </c>
      <c r="D231" s="4" t="s">
        <v>14</v>
      </c>
      <c r="E231" s="4" t="s">
        <v>15</v>
      </c>
      <c r="F231">
        <v>1701</v>
      </c>
      <c r="G231">
        <v>272</v>
      </c>
      <c r="H231">
        <v>385</v>
      </c>
      <c r="I231">
        <v>47496</v>
      </c>
      <c r="J231">
        <v>40832</v>
      </c>
      <c r="K231">
        <v>246</v>
      </c>
      <c r="L231" s="4" t="s">
        <v>19</v>
      </c>
      <c r="M231" s="4" t="s">
        <v>364</v>
      </c>
      <c r="N231" s="4" t="s">
        <v>20</v>
      </c>
      <c r="O231" s="33">
        <f t="shared" si="3"/>
        <v>4.9646286003031836E-2</v>
      </c>
      <c r="P231" s="92">
        <f>(_xlfn.XLOOKUP(Table1__3[[#This Row],[Campaign_Name]],Table3[Campaign_Name],Table3[Start_Date]))</f>
        <v>45717</v>
      </c>
      <c r="Q231" s="92">
        <f>(_xlfn.XLOOKUP(Table1__3[[#This Row],[Campaign_Name]],Table3[Campaign_Name],Table3[End_Date]))</f>
        <v>45747</v>
      </c>
      <c r="R231" s="4" t="str">
        <f>IF(Table1__3[[#This Row],[Date]] &lt; Table1__3[[#This Row],[Start_Date]], "Before",
   IF(AND(Table1__3[[#This Row],[Date]] &gt;= Table1__3[[#This Row],[Start_Date]], Table1__3[[#This Row],[Date]] &lt;= Table1__3[[#This Row],[End_Date]]), "During",
   "After"))</f>
        <v>After</v>
      </c>
      <c r="S231" s="31"/>
      <c r="T231" s="31"/>
    </row>
    <row r="232" spans="1:20">
      <c r="A232" s="4" t="s">
        <v>265</v>
      </c>
      <c r="B232" s="4" t="s">
        <v>13</v>
      </c>
      <c r="C232" s="92">
        <v>45379</v>
      </c>
      <c r="D232" s="4" t="s">
        <v>14</v>
      </c>
      <c r="E232" s="4" t="s">
        <v>31</v>
      </c>
      <c r="F232">
        <v>1673</v>
      </c>
      <c r="G232">
        <v>280</v>
      </c>
      <c r="H232">
        <v>67</v>
      </c>
      <c r="I232">
        <v>29847</v>
      </c>
      <c r="J232">
        <v>48016</v>
      </c>
      <c r="K232">
        <v>213</v>
      </c>
      <c r="L232" s="4" t="s">
        <v>40</v>
      </c>
      <c r="M232" s="4" t="s">
        <v>37</v>
      </c>
      <c r="N232" s="4" t="s">
        <v>16</v>
      </c>
      <c r="O232" s="33">
        <f t="shared" si="3"/>
        <v>6.76784936509532E-2</v>
      </c>
      <c r="P232" s="92">
        <f>(_xlfn.XLOOKUP(Table1__3[[#This Row],[Campaign_Name]],Table3[Campaign_Name],Table3[Start_Date]))</f>
        <v>45667</v>
      </c>
      <c r="Q232" s="92">
        <f>(_xlfn.XLOOKUP(Table1__3[[#This Row],[Campaign_Name]],Table3[Campaign_Name],Table3[End_Date]))</f>
        <v>45698</v>
      </c>
      <c r="R232" s="4" t="str">
        <f>IF(Table1__3[[#This Row],[Date]] &lt; Table1__3[[#This Row],[Start_Date]], "Before",
   IF(AND(Table1__3[[#This Row],[Date]] &gt;= Table1__3[[#This Row],[Start_Date]], Table1__3[[#This Row],[Date]] &lt;= Table1__3[[#This Row],[End_Date]]), "During",
   "After"))</f>
        <v>Before</v>
      </c>
      <c r="S232" s="31"/>
      <c r="T232" s="31"/>
    </row>
    <row r="233" spans="1:20">
      <c r="A233" s="4" t="s">
        <v>266</v>
      </c>
      <c r="B233" s="4" t="s">
        <v>28</v>
      </c>
      <c r="C233" s="92">
        <v>45723</v>
      </c>
      <c r="D233" s="4" t="s">
        <v>14</v>
      </c>
      <c r="E233" s="4" t="s">
        <v>36</v>
      </c>
      <c r="F233">
        <v>4310</v>
      </c>
      <c r="G233">
        <v>284</v>
      </c>
      <c r="H233">
        <v>306</v>
      </c>
      <c r="I233">
        <v>44606</v>
      </c>
      <c r="J233">
        <v>42604</v>
      </c>
      <c r="K233">
        <v>290</v>
      </c>
      <c r="L233" s="4" t="s">
        <v>19</v>
      </c>
      <c r="M233" s="4" t="s">
        <v>364</v>
      </c>
      <c r="N233" s="4" t="s">
        <v>20</v>
      </c>
      <c r="O233" s="33">
        <f t="shared" si="3"/>
        <v>0.10985069273191947</v>
      </c>
      <c r="P233" s="92">
        <f>(_xlfn.XLOOKUP(Table1__3[[#This Row],[Campaign_Name]],Table3[Campaign_Name],Table3[Start_Date]))</f>
        <v>45717</v>
      </c>
      <c r="Q233" s="92">
        <f>(_xlfn.XLOOKUP(Table1__3[[#This Row],[Campaign_Name]],Table3[Campaign_Name],Table3[End_Date]))</f>
        <v>45747</v>
      </c>
      <c r="R233" s="4" t="str">
        <f>IF(Table1__3[[#This Row],[Date]] &lt; Table1__3[[#This Row],[Start_Date]], "Before",
   IF(AND(Table1__3[[#This Row],[Date]] &gt;= Table1__3[[#This Row],[Start_Date]], Table1__3[[#This Row],[Date]] &lt;= Table1__3[[#This Row],[End_Date]]), "During",
   "After"))</f>
        <v>During</v>
      </c>
      <c r="S233" s="31"/>
      <c r="T233" s="31"/>
    </row>
    <row r="234" spans="1:20">
      <c r="A234" s="4" t="s">
        <v>267</v>
      </c>
      <c r="B234" s="4" t="s">
        <v>22</v>
      </c>
      <c r="C234" s="92">
        <v>45585</v>
      </c>
      <c r="D234" s="4" t="s">
        <v>14</v>
      </c>
      <c r="E234" s="4" t="s">
        <v>44</v>
      </c>
      <c r="F234">
        <v>2752</v>
      </c>
      <c r="G234">
        <v>309</v>
      </c>
      <c r="H234">
        <v>91</v>
      </c>
      <c r="I234">
        <v>39038</v>
      </c>
      <c r="J234">
        <v>28095</v>
      </c>
      <c r="K234">
        <v>277</v>
      </c>
      <c r="L234" s="4" t="s">
        <v>37</v>
      </c>
      <c r="M234" s="4"/>
      <c r="N234" s="4" t="s">
        <v>16</v>
      </c>
      <c r="O234" s="33">
        <f t="shared" si="3"/>
        <v>8.0741841282852611E-2</v>
      </c>
      <c r="P234" s="92">
        <f>(_xlfn.XLOOKUP(Table1__3[[#This Row],[Campaign_Name]],Table3[Campaign_Name],Table3[Start_Date]))</f>
        <v>45667</v>
      </c>
      <c r="Q234" s="92">
        <f>(_xlfn.XLOOKUP(Table1__3[[#This Row],[Campaign_Name]],Table3[Campaign_Name],Table3[End_Date]))</f>
        <v>45698</v>
      </c>
      <c r="R234" s="4" t="str">
        <f>IF(Table1__3[[#This Row],[Date]] &lt; Table1__3[[#This Row],[Start_Date]], "Before",
   IF(AND(Table1__3[[#This Row],[Date]] &gt;= Table1__3[[#This Row],[Start_Date]], Table1__3[[#This Row],[Date]] &lt;= Table1__3[[#This Row],[End_Date]]), "During",
   "After"))</f>
        <v>Before</v>
      </c>
      <c r="S234" s="31"/>
      <c r="T234" s="31"/>
    </row>
    <row r="235" spans="1:20">
      <c r="A235" s="4" t="s">
        <v>268</v>
      </c>
      <c r="B235" s="4" t="s">
        <v>22</v>
      </c>
      <c r="C235" s="92">
        <v>45324</v>
      </c>
      <c r="D235" s="4" t="s">
        <v>14</v>
      </c>
      <c r="E235" s="4" t="s">
        <v>44</v>
      </c>
      <c r="F235">
        <v>3818</v>
      </c>
      <c r="G235">
        <v>115</v>
      </c>
      <c r="H235">
        <v>286</v>
      </c>
      <c r="I235">
        <v>25127</v>
      </c>
      <c r="J235">
        <v>22277</v>
      </c>
      <c r="K235">
        <v>263</v>
      </c>
      <c r="L235" s="4" t="s">
        <v>37</v>
      </c>
      <c r="M235" s="4"/>
      <c r="N235" s="4" t="s">
        <v>16</v>
      </c>
      <c r="O235" s="33">
        <f t="shared" si="3"/>
        <v>0.16790703227603773</v>
      </c>
      <c r="P235" s="92">
        <f>(_xlfn.XLOOKUP(Table1__3[[#This Row],[Campaign_Name]],Table3[Campaign_Name],Table3[Start_Date]))</f>
        <v>45667</v>
      </c>
      <c r="Q235" s="92">
        <f>(_xlfn.XLOOKUP(Table1__3[[#This Row],[Campaign_Name]],Table3[Campaign_Name],Table3[End_Date]))</f>
        <v>45698</v>
      </c>
      <c r="R235" s="4" t="str">
        <f>IF(Table1__3[[#This Row],[Date]] &lt; Table1__3[[#This Row],[Start_Date]], "Before",
   IF(AND(Table1__3[[#This Row],[Date]] &gt;= Table1__3[[#This Row],[Start_Date]], Table1__3[[#This Row],[Date]] &lt;= Table1__3[[#This Row],[End_Date]]), "During",
   "After"))</f>
        <v>Before</v>
      </c>
      <c r="S235" s="31"/>
      <c r="T235" s="31"/>
    </row>
    <row r="236" spans="1:20">
      <c r="A236" s="4" t="s">
        <v>269</v>
      </c>
      <c r="B236" s="4" t="s">
        <v>28</v>
      </c>
      <c r="C236" s="92">
        <v>45542</v>
      </c>
      <c r="D236" s="4" t="s">
        <v>14</v>
      </c>
      <c r="E236" s="4" t="s">
        <v>46</v>
      </c>
      <c r="F236">
        <v>2101</v>
      </c>
      <c r="G236">
        <v>411</v>
      </c>
      <c r="H236">
        <v>190</v>
      </c>
      <c r="I236">
        <v>41791</v>
      </c>
      <c r="J236">
        <v>57090</v>
      </c>
      <c r="K236">
        <v>172</v>
      </c>
      <c r="L236" s="4" t="s">
        <v>19</v>
      </c>
      <c r="M236" s="4" t="s">
        <v>364</v>
      </c>
      <c r="N236" s="4" t="s">
        <v>20</v>
      </c>
      <c r="O236" s="33">
        <f t="shared" si="3"/>
        <v>6.4655069273288512E-2</v>
      </c>
      <c r="P236" s="92">
        <f>(_xlfn.XLOOKUP(Table1__3[[#This Row],[Campaign_Name]],Table3[Campaign_Name],Table3[Start_Date]))</f>
        <v>45717</v>
      </c>
      <c r="Q236" s="92">
        <f>(_xlfn.XLOOKUP(Table1__3[[#This Row],[Campaign_Name]],Table3[Campaign_Name],Table3[End_Date]))</f>
        <v>45747</v>
      </c>
      <c r="R236" s="4" t="str">
        <f>IF(Table1__3[[#This Row],[Date]] &lt; Table1__3[[#This Row],[Start_Date]], "Before",
   IF(AND(Table1__3[[#This Row],[Date]] &gt;= Table1__3[[#This Row],[Start_Date]], Table1__3[[#This Row],[Date]] &lt;= Table1__3[[#This Row],[End_Date]]), "During",
   "After"))</f>
        <v>Before</v>
      </c>
      <c r="S236" s="31"/>
      <c r="T236" s="31"/>
    </row>
    <row r="237" spans="1:20">
      <c r="A237" s="4" t="s">
        <v>270</v>
      </c>
      <c r="B237" s="4" t="s">
        <v>13</v>
      </c>
      <c r="C237" s="92">
        <v>45646</v>
      </c>
      <c r="D237" s="4" t="s">
        <v>14</v>
      </c>
      <c r="E237" s="4" t="s">
        <v>15</v>
      </c>
      <c r="F237">
        <v>2519</v>
      </c>
      <c r="G237">
        <v>202</v>
      </c>
      <c r="H237">
        <v>239</v>
      </c>
      <c r="I237">
        <v>36245</v>
      </c>
      <c r="J237">
        <v>48606</v>
      </c>
      <c r="K237">
        <v>145</v>
      </c>
      <c r="L237" s="4" t="s">
        <v>19</v>
      </c>
      <c r="M237" s="4"/>
      <c r="N237" s="4" t="s">
        <v>20</v>
      </c>
      <c r="O237" s="33">
        <f t="shared" si="3"/>
        <v>8.1666436749896543E-2</v>
      </c>
      <c r="P237" s="92">
        <f>(_xlfn.XLOOKUP(Table1__3[[#This Row],[Campaign_Name]],Table3[Campaign_Name],Table3[Start_Date]))</f>
        <v>45717</v>
      </c>
      <c r="Q237" s="92">
        <f>(_xlfn.XLOOKUP(Table1__3[[#This Row],[Campaign_Name]],Table3[Campaign_Name],Table3[End_Date]))</f>
        <v>45747</v>
      </c>
      <c r="R237" s="4" t="str">
        <f>IF(Table1__3[[#This Row],[Date]] &lt; Table1__3[[#This Row],[Start_Date]], "Before",
   IF(AND(Table1__3[[#This Row],[Date]] &gt;= Table1__3[[#This Row],[Start_Date]], Table1__3[[#This Row],[Date]] &lt;= Table1__3[[#This Row],[End_Date]]), "During",
   "After"))</f>
        <v>Before</v>
      </c>
      <c r="S237" s="31"/>
      <c r="T237" s="31"/>
    </row>
    <row r="238" spans="1:20">
      <c r="A238" s="4" t="s">
        <v>271</v>
      </c>
      <c r="B238" s="4" t="s">
        <v>28</v>
      </c>
      <c r="C238" s="92">
        <v>45305</v>
      </c>
      <c r="D238" s="4" t="s">
        <v>14</v>
      </c>
      <c r="E238" s="4" t="s">
        <v>31</v>
      </c>
      <c r="F238">
        <v>4502</v>
      </c>
      <c r="G238">
        <v>238</v>
      </c>
      <c r="H238">
        <v>386</v>
      </c>
      <c r="I238">
        <v>39198</v>
      </c>
      <c r="J238">
        <v>25050</v>
      </c>
      <c r="K238">
        <v>297</v>
      </c>
      <c r="L238" s="4" t="s">
        <v>19</v>
      </c>
      <c r="M238" s="4" t="s">
        <v>364</v>
      </c>
      <c r="N238" s="4" t="s">
        <v>20</v>
      </c>
      <c r="O238" s="33">
        <f t="shared" si="3"/>
        <v>0.13077197816215114</v>
      </c>
      <c r="P238" s="92">
        <f>(_xlfn.XLOOKUP(Table1__3[[#This Row],[Campaign_Name]],Table3[Campaign_Name],Table3[Start_Date]))</f>
        <v>45717</v>
      </c>
      <c r="Q238" s="92">
        <f>(_xlfn.XLOOKUP(Table1__3[[#This Row],[Campaign_Name]],Table3[Campaign_Name],Table3[End_Date]))</f>
        <v>45747</v>
      </c>
      <c r="R238" s="4" t="str">
        <f>IF(Table1__3[[#This Row],[Date]] &lt; Table1__3[[#This Row],[Start_Date]], "Before",
   IF(AND(Table1__3[[#This Row],[Date]] &gt;= Table1__3[[#This Row],[Start_Date]], Table1__3[[#This Row],[Date]] &lt;= Table1__3[[#This Row],[End_Date]]), "During",
   "After"))</f>
        <v>Before</v>
      </c>
      <c r="S238" s="31"/>
      <c r="T238" s="31"/>
    </row>
    <row r="239" spans="1:20">
      <c r="A239" s="4" t="s">
        <v>272</v>
      </c>
      <c r="B239" s="4" t="s">
        <v>13</v>
      </c>
      <c r="C239" s="92">
        <v>45823</v>
      </c>
      <c r="D239" s="4" t="s">
        <v>14</v>
      </c>
      <c r="E239" s="4" t="s">
        <v>18</v>
      </c>
      <c r="F239">
        <v>2478</v>
      </c>
      <c r="G239">
        <v>427</v>
      </c>
      <c r="H239">
        <v>242</v>
      </c>
      <c r="I239">
        <v>59272</v>
      </c>
      <c r="J239">
        <v>37833</v>
      </c>
      <c r="K239">
        <v>214</v>
      </c>
      <c r="L239" s="4" t="s">
        <v>40</v>
      </c>
      <c r="M239" s="4" t="s">
        <v>37</v>
      </c>
      <c r="N239" s="4" t="s">
        <v>16</v>
      </c>
      <c r="O239" s="33">
        <f t="shared" si="3"/>
        <v>5.3094209744904843E-2</v>
      </c>
      <c r="P239" s="92">
        <f>(_xlfn.XLOOKUP(Table1__3[[#This Row],[Campaign_Name]],Table3[Campaign_Name],Table3[Start_Date]))</f>
        <v>45667</v>
      </c>
      <c r="Q239" s="92">
        <f>(_xlfn.XLOOKUP(Table1__3[[#This Row],[Campaign_Name]],Table3[Campaign_Name],Table3[End_Date]))</f>
        <v>45698</v>
      </c>
      <c r="R239" s="4" t="str">
        <f>IF(Table1__3[[#This Row],[Date]] &lt; Table1__3[[#This Row],[Start_Date]], "Before",
   IF(AND(Table1__3[[#This Row],[Date]] &gt;= Table1__3[[#This Row],[Start_Date]], Table1__3[[#This Row],[Date]] &lt;= Table1__3[[#This Row],[End_Date]]), "During",
   "After"))</f>
        <v>After</v>
      </c>
      <c r="S239" s="31"/>
      <c r="T239" s="31"/>
    </row>
    <row r="240" spans="1:20">
      <c r="A240" s="4" t="s">
        <v>273</v>
      </c>
      <c r="B240" s="4" t="s">
        <v>22</v>
      </c>
      <c r="C240" s="92">
        <v>45639</v>
      </c>
      <c r="D240" s="4" t="s">
        <v>23</v>
      </c>
      <c r="E240" s="4" t="s">
        <v>24</v>
      </c>
      <c r="F240">
        <v>4984</v>
      </c>
      <c r="G240">
        <v>300</v>
      </c>
      <c r="H240">
        <v>338</v>
      </c>
      <c r="I240">
        <v>32900</v>
      </c>
      <c r="J240">
        <v>31691</v>
      </c>
      <c r="K240">
        <v>160</v>
      </c>
      <c r="L240" s="4" t="s">
        <v>363</v>
      </c>
      <c r="M240" s="4" t="s">
        <v>37</v>
      </c>
      <c r="N240" s="4" t="s">
        <v>16</v>
      </c>
      <c r="O240" s="33">
        <f t="shared" si="3"/>
        <v>0.17088145896656534</v>
      </c>
      <c r="P240" s="92">
        <f>(_xlfn.XLOOKUP(Table1__3[[#This Row],[Campaign_Name]],Table3[Campaign_Name],Table3[Start_Date]))</f>
        <v>45667</v>
      </c>
      <c r="Q240" s="92">
        <f>(_xlfn.XLOOKUP(Table1__3[[#This Row],[Campaign_Name]],Table3[Campaign_Name],Table3[End_Date]))</f>
        <v>45698</v>
      </c>
      <c r="R240" s="4" t="str">
        <f>IF(Table1__3[[#This Row],[Date]] &lt; Table1__3[[#This Row],[Start_Date]], "Before",
   IF(AND(Table1__3[[#This Row],[Date]] &gt;= Table1__3[[#This Row],[Start_Date]], Table1__3[[#This Row],[Date]] &lt;= Table1__3[[#This Row],[End_Date]]), "During",
   "After"))</f>
        <v>Before</v>
      </c>
      <c r="S240" s="31"/>
      <c r="T240" s="31"/>
    </row>
    <row r="241" spans="1:20">
      <c r="A241" s="4" t="s">
        <v>274</v>
      </c>
      <c r="B241" s="4" t="s">
        <v>28</v>
      </c>
      <c r="C241" s="92">
        <v>45533</v>
      </c>
      <c r="D241" s="4" t="s">
        <v>14</v>
      </c>
      <c r="E241" s="4" t="s">
        <v>26</v>
      </c>
      <c r="F241">
        <v>4774</v>
      </c>
      <c r="G241">
        <v>389</v>
      </c>
      <c r="H241">
        <v>358</v>
      </c>
      <c r="I241">
        <v>52346</v>
      </c>
      <c r="J241">
        <v>30518</v>
      </c>
      <c r="K241">
        <v>277</v>
      </c>
      <c r="L241" s="4" t="s">
        <v>19</v>
      </c>
      <c r="M241" s="4" t="s">
        <v>364</v>
      </c>
      <c r="N241" s="4" t="s">
        <v>20</v>
      </c>
      <c r="O241" s="33">
        <f t="shared" si="3"/>
        <v>0.10547128720437092</v>
      </c>
      <c r="P241" s="92">
        <f>(_xlfn.XLOOKUP(Table1__3[[#This Row],[Campaign_Name]],Table3[Campaign_Name],Table3[Start_Date]))</f>
        <v>45717</v>
      </c>
      <c r="Q241" s="92">
        <f>(_xlfn.XLOOKUP(Table1__3[[#This Row],[Campaign_Name]],Table3[Campaign_Name],Table3[End_Date]))</f>
        <v>45747</v>
      </c>
      <c r="R241" s="4" t="str">
        <f>IF(Table1__3[[#This Row],[Date]] &lt; Table1__3[[#This Row],[Start_Date]], "Before",
   IF(AND(Table1__3[[#This Row],[Date]] &gt;= Table1__3[[#This Row],[Start_Date]], Table1__3[[#This Row],[Date]] &lt;= Table1__3[[#This Row],[End_Date]]), "During",
   "After"))</f>
        <v>Before</v>
      </c>
      <c r="S241" s="31"/>
      <c r="T241" s="31"/>
    </row>
    <row r="242" spans="1:20">
      <c r="A242" s="4" t="s">
        <v>275</v>
      </c>
      <c r="B242" s="4" t="s">
        <v>22</v>
      </c>
      <c r="C242" s="92">
        <v>45550</v>
      </c>
      <c r="D242" s="4" t="s">
        <v>14</v>
      </c>
      <c r="E242" s="4" t="s">
        <v>33</v>
      </c>
      <c r="F242">
        <v>2145</v>
      </c>
      <c r="G242">
        <v>340</v>
      </c>
      <c r="H242">
        <v>85</v>
      </c>
      <c r="I242">
        <v>53323</v>
      </c>
      <c r="J242">
        <v>49938</v>
      </c>
      <c r="K242">
        <v>104</v>
      </c>
      <c r="L242" s="4" t="s">
        <v>37</v>
      </c>
      <c r="M242" s="4"/>
      <c r="N242" s="4" t="s">
        <v>16</v>
      </c>
      <c r="O242" s="33">
        <f t="shared" si="3"/>
        <v>4.819683813738912E-2</v>
      </c>
      <c r="P242" s="92">
        <f>(_xlfn.XLOOKUP(Table1__3[[#This Row],[Campaign_Name]],Table3[Campaign_Name],Table3[Start_Date]))</f>
        <v>45667</v>
      </c>
      <c r="Q242" s="92">
        <f>(_xlfn.XLOOKUP(Table1__3[[#This Row],[Campaign_Name]],Table3[Campaign_Name],Table3[End_Date]))</f>
        <v>45698</v>
      </c>
      <c r="R242" s="4" t="str">
        <f>IF(Table1__3[[#This Row],[Date]] &lt; Table1__3[[#This Row],[Start_Date]], "Before",
   IF(AND(Table1__3[[#This Row],[Date]] &gt;= Table1__3[[#This Row],[Start_Date]], Table1__3[[#This Row],[Date]] &lt;= Table1__3[[#This Row],[End_Date]]), "During",
   "After"))</f>
        <v>Before</v>
      </c>
      <c r="S242" s="31"/>
      <c r="T242" s="31"/>
    </row>
    <row r="243" spans="1:20">
      <c r="A243" s="4" t="s">
        <v>276</v>
      </c>
      <c r="B243" s="4" t="s">
        <v>22</v>
      </c>
      <c r="C243" s="92">
        <v>45759</v>
      </c>
      <c r="D243" s="4" t="s">
        <v>23</v>
      </c>
      <c r="E243" s="4" t="s">
        <v>44</v>
      </c>
      <c r="F243">
        <v>4315</v>
      </c>
      <c r="G243">
        <v>208</v>
      </c>
      <c r="H243">
        <v>273</v>
      </c>
      <c r="I243">
        <v>35780</v>
      </c>
      <c r="J243">
        <v>44349</v>
      </c>
      <c r="K243">
        <v>133</v>
      </c>
      <c r="L243" s="4" t="s">
        <v>19</v>
      </c>
      <c r="M243" s="4" t="s">
        <v>363</v>
      </c>
      <c r="N243" s="4" t="s">
        <v>16</v>
      </c>
      <c r="O243" s="33">
        <f t="shared" si="3"/>
        <v>0.13404136389044158</v>
      </c>
      <c r="P243" s="92">
        <f>(_xlfn.XLOOKUP(Table1__3[[#This Row],[Campaign_Name]],Table3[Campaign_Name],Table3[Start_Date]))</f>
        <v>45667</v>
      </c>
      <c r="Q243" s="92">
        <f>(_xlfn.XLOOKUP(Table1__3[[#This Row],[Campaign_Name]],Table3[Campaign_Name],Table3[End_Date]))</f>
        <v>45698</v>
      </c>
      <c r="R243" s="4" t="str">
        <f>IF(Table1__3[[#This Row],[Date]] &lt; Table1__3[[#This Row],[Start_Date]], "Before",
   IF(AND(Table1__3[[#This Row],[Date]] &gt;= Table1__3[[#This Row],[Start_Date]], Table1__3[[#This Row],[Date]] &lt;= Table1__3[[#This Row],[End_Date]]), "During",
   "After"))</f>
        <v>After</v>
      </c>
      <c r="S243" s="31"/>
      <c r="T243" s="31"/>
    </row>
    <row r="244" spans="1:20">
      <c r="A244" s="4" t="s">
        <v>277</v>
      </c>
      <c r="B244" s="4" t="s">
        <v>22</v>
      </c>
      <c r="C244" s="92">
        <v>45636</v>
      </c>
      <c r="D244" s="4" t="s">
        <v>23</v>
      </c>
      <c r="E244" s="4" t="s">
        <v>26</v>
      </c>
      <c r="F244">
        <v>2267</v>
      </c>
      <c r="G244">
        <v>230</v>
      </c>
      <c r="H244">
        <v>243</v>
      </c>
      <c r="I244">
        <v>27904</v>
      </c>
      <c r="J244">
        <v>69771</v>
      </c>
      <c r="K244">
        <v>255</v>
      </c>
      <c r="L244" s="4" t="s">
        <v>19</v>
      </c>
      <c r="M244" s="4" t="s">
        <v>363</v>
      </c>
      <c r="N244" s="4" t="s">
        <v>16</v>
      </c>
      <c r="O244" s="33">
        <f t="shared" si="3"/>
        <v>9.8193807339449546E-2</v>
      </c>
      <c r="P244" s="92">
        <f>(_xlfn.XLOOKUP(Table1__3[[#This Row],[Campaign_Name]],Table3[Campaign_Name],Table3[Start_Date]))</f>
        <v>45667</v>
      </c>
      <c r="Q244" s="92">
        <f>(_xlfn.XLOOKUP(Table1__3[[#This Row],[Campaign_Name]],Table3[Campaign_Name],Table3[End_Date]))</f>
        <v>45698</v>
      </c>
      <c r="R244" s="4" t="str">
        <f>IF(Table1__3[[#This Row],[Date]] &lt; Table1__3[[#This Row],[Start_Date]], "Before",
   IF(AND(Table1__3[[#This Row],[Date]] &gt;= Table1__3[[#This Row],[Start_Date]], Table1__3[[#This Row],[Date]] &lt;= Table1__3[[#This Row],[End_Date]]), "During",
   "After"))</f>
        <v>Before</v>
      </c>
      <c r="S244" s="31"/>
      <c r="T244" s="31"/>
    </row>
    <row r="245" spans="1:20">
      <c r="A245" s="4" t="s">
        <v>278</v>
      </c>
      <c r="B245" s="4" t="s">
        <v>28</v>
      </c>
      <c r="C245" s="92">
        <v>45816</v>
      </c>
      <c r="D245" s="4" t="s">
        <v>14</v>
      </c>
      <c r="E245" s="4" t="s">
        <v>29</v>
      </c>
      <c r="F245">
        <v>4375</v>
      </c>
      <c r="G245">
        <v>303</v>
      </c>
      <c r="H245">
        <v>294</v>
      </c>
      <c r="I245">
        <v>57468</v>
      </c>
      <c r="J245">
        <v>53397</v>
      </c>
      <c r="K245">
        <v>159</v>
      </c>
      <c r="L245" s="4" t="s">
        <v>19</v>
      </c>
      <c r="M245" s="4" t="s">
        <v>364</v>
      </c>
      <c r="N245" s="4" t="s">
        <v>20</v>
      </c>
      <c r="O245" s="33">
        <f t="shared" si="3"/>
        <v>8.6517714206166912E-2</v>
      </c>
      <c r="P245" s="92">
        <f>(_xlfn.XLOOKUP(Table1__3[[#This Row],[Campaign_Name]],Table3[Campaign_Name],Table3[Start_Date]))</f>
        <v>45717</v>
      </c>
      <c r="Q245" s="92">
        <f>(_xlfn.XLOOKUP(Table1__3[[#This Row],[Campaign_Name]],Table3[Campaign_Name],Table3[End_Date]))</f>
        <v>45747</v>
      </c>
      <c r="R245" s="4" t="str">
        <f>IF(Table1__3[[#This Row],[Date]] &lt; Table1__3[[#This Row],[Start_Date]], "Before",
   IF(AND(Table1__3[[#This Row],[Date]] &gt;= Table1__3[[#This Row],[Start_Date]], Table1__3[[#This Row],[Date]] &lt;= Table1__3[[#This Row],[End_Date]]), "During",
   "After"))</f>
        <v>After</v>
      </c>
      <c r="S245" s="31"/>
      <c r="T245" s="31"/>
    </row>
    <row r="246" spans="1:20">
      <c r="A246" s="4" t="s">
        <v>279</v>
      </c>
      <c r="B246" s="4" t="s">
        <v>22</v>
      </c>
      <c r="C246" s="92">
        <v>45666</v>
      </c>
      <c r="D246" s="4" t="s">
        <v>23</v>
      </c>
      <c r="E246" s="4" t="s">
        <v>46</v>
      </c>
      <c r="F246">
        <v>3817</v>
      </c>
      <c r="G246">
        <v>284</v>
      </c>
      <c r="H246">
        <v>204</v>
      </c>
      <c r="I246">
        <v>46434</v>
      </c>
      <c r="J246">
        <v>53396</v>
      </c>
      <c r="K246">
        <v>104</v>
      </c>
      <c r="L246" s="4" t="s">
        <v>363</v>
      </c>
      <c r="M246" s="4" t="s">
        <v>37</v>
      </c>
      <c r="N246" s="4" t="s">
        <v>16</v>
      </c>
      <c r="O246" s="33">
        <f t="shared" si="3"/>
        <v>9.2712236723090841E-2</v>
      </c>
      <c r="P246" s="92">
        <f>(_xlfn.XLOOKUP(Table1__3[[#This Row],[Campaign_Name]],Table3[Campaign_Name],Table3[Start_Date]))</f>
        <v>45667</v>
      </c>
      <c r="Q246" s="92">
        <f>(_xlfn.XLOOKUP(Table1__3[[#This Row],[Campaign_Name]],Table3[Campaign_Name],Table3[End_Date]))</f>
        <v>45698</v>
      </c>
      <c r="R246" s="4" t="str">
        <f>IF(Table1__3[[#This Row],[Date]] &lt; Table1__3[[#This Row],[Start_Date]], "Before",
   IF(AND(Table1__3[[#This Row],[Date]] &gt;= Table1__3[[#This Row],[Start_Date]], Table1__3[[#This Row],[Date]] &lt;= Table1__3[[#This Row],[End_Date]]), "During",
   "After"))</f>
        <v>Before</v>
      </c>
      <c r="S246" s="31"/>
      <c r="T246" s="31"/>
    </row>
    <row r="247" spans="1:20">
      <c r="A247" s="4" t="s">
        <v>280</v>
      </c>
      <c r="B247" s="4" t="s">
        <v>22</v>
      </c>
      <c r="C247" s="92">
        <v>45481</v>
      </c>
      <c r="D247" s="4" t="s">
        <v>23</v>
      </c>
      <c r="E247" s="4" t="s">
        <v>36</v>
      </c>
      <c r="F247">
        <v>2981</v>
      </c>
      <c r="G247">
        <v>258</v>
      </c>
      <c r="H247">
        <v>168</v>
      </c>
      <c r="I247">
        <v>20677</v>
      </c>
      <c r="J247">
        <v>68290</v>
      </c>
      <c r="K247">
        <v>130</v>
      </c>
      <c r="L247" s="4" t="s">
        <v>40</v>
      </c>
      <c r="M247" s="4" t="s">
        <v>37</v>
      </c>
      <c r="N247" s="4" t="s">
        <v>16</v>
      </c>
      <c r="O247" s="33">
        <f t="shared" si="3"/>
        <v>0.16477245248343569</v>
      </c>
      <c r="P247" s="92">
        <f>(_xlfn.XLOOKUP(Table1__3[[#This Row],[Campaign_Name]],Table3[Campaign_Name],Table3[Start_Date]))</f>
        <v>45667</v>
      </c>
      <c r="Q247" s="92">
        <f>(_xlfn.XLOOKUP(Table1__3[[#This Row],[Campaign_Name]],Table3[Campaign_Name],Table3[End_Date]))</f>
        <v>45698</v>
      </c>
      <c r="R247" s="4" t="str">
        <f>IF(Table1__3[[#This Row],[Date]] &lt; Table1__3[[#This Row],[Start_Date]], "Before",
   IF(AND(Table1__3[[#This Row],[Date]] &gt;= Table1__3[[#This Row],[Start_Date]], Table1__3[[#This Row],[Date]] &lt;= Table1__3[[#This Row],[End_Date]]), "During",
   "After"))</f>
        <v>Before</v>
      </c>
      <c r="S247" s="31"/>
      <c r="T247" s="31"/>
    </row>
    <row r="248" spans="1:20">
      <c r="A248" s="4" t="s">
        <v>281</v>
      </c>
      <c r="B248" s="4" t="s">
        <v>22</v>
      </c>
      <c r="C248" s="92">
        <v>45551</v>
      </c>
      <c r="D248" s="4" t="s">
        <v>23</v>
      </c>
      <c r="E248" s="4" t="s">
        <v>46</v>
      </c>
      <c r="F248">
        <v>3300</v>
      </c>
      <c r="G248">
        <v>354</v>
      </c>
      <c r="H248">
        <v>397</v>
      </c>
      <c r="I248">
        <v>56773</v>
      </c>
      <c r="J248">
        <v>72110</v>
      </c>
      <c r="K248">
        <v>163</v>
      </c>
      <c r="L248" s="4" t="s">
        <v>19</v>
      </c>
      <c r="M248" s="4" t="s">
        <v>363</v>
      </c>
      <c r="N248" s="4" t="s">
        <v>16</v>
      </c>
      <c r="O248" s="33">
        <f t="shared" si="3"/>
        <v>7.1354340971940891E-2</v>
      </c>
      <c r="P248" s="92">
        <f>(_xlfn.XLOOKUP(Table1__3[[#This Row],[Campaign_Name]],Table3[Campaign_Name],Table3[Start_Date]))</f>
        <v>45667</v>
      </c>
      <c r="Q248" s="92">
        <f>(_xlfn.XLOOKUP(Table1__3[[#This Row],[Campaign_Name]],Table3[Campaign_Name],Table3[End_Date]))</f>
        <v>45698</v>
      </c>
      <c r="R248" s="4" t="str">
        <f>IF(Table1__3[[#This Row],[Date]] &lt; Table1__3[[#This Row],[Start_Date]], "Before",
   IF(AND(Table1__3[[#This Row],[Date]] &gt;= Table1__3[[#This Row],[Start_Date]], Table1__3[[#This Row],[Date]] &lt;= Table1__3[[#This Row],[End_Date]]), "During",
   "After"))</f>
        <v>Before</v>
      </c>
      <c r="S248" s="31"/>
      <c r="T248" s="31"/>
    </row>
    <row r="249" spans="1:20">
      <c r="A249" s="4" t="s">
        <v>282</v>
      </c>
      <c r="B249" s="4" t="s">
        <v>28</v>
      </c>
      <c r="C249" s="92">
        <v>45457</v>
      </c>
      <c r="D249" s="4" t="s">
        <v>52</v>
      </c>
      <c r="E249" s="4" t="s">
        <v>26</v>
      </c>
      <c r="F249">
        <v>4722</v>
      </c>
      <c r="G249">
        <v>310</v>
      </c>
      <c r="H249">
        <v>344</v>
      </c>
      <c r="I249">
        <v>27911</v>
      </c>
      <c r="J249">
        <v>19000</v>
      </c>
      <c r="K249">
        <v>225</v>
      </c>
      <c r="L249" s="4" t="s">
        <v>19</v>
      </c>
      <c r="M249" s="4" t="s">
        <v>40</v>
      </c>
      <c r="N249" s="4" t="s">
        <v>53</v>
      </c>
      <c r="O249" s="33">
        <f t="shared" si="3"/>
        <v>0.19261223173659131</v>
      </c>
      <c r="P249" s="92">
        <f>(_xlfn.XLOOKUP(Table1__3[[#This Row],[Campaign_Name]],Table3[Campaign_Name],Table3[Start_Date]))</f>
        <v>45458</v>
      </c>
      <c r="Q249" s="92">
        <f>(_xlfn.XLOOKUP(Table1__3[[#This Row],[Campaign_Name]],Table3[Campaign_Name],Table3[End_Date]))</f>
        <v>45488</v>
      </c>
      <c r="R249" s="4" t="str">
        <f>IF(Table1__3[[#This Row],[Date]] &lt; Table1__3[[#This Row],[Start_Date]], "Before",
   IF(AND(Table1__3[[#This Row],[Date]] &gt;= Table1__3[[#This Row],[Start_Date]], Table1__3[[#This Row],[Date]] &lt;= Table1__3[[#This Row],[End_Date]]), "During",
   "After"))</f>
        <v>Before</v>
      </c>
      <c r="S249" s="31"/>
      <c r="T249" s="31"/>
    </row>
    <row r="250" spans="1:20">
      <c r="A250" s="4" t="s">
        <v>283</v>
      </c>
      <c r="B250" s="4" t="s">
        <v>13</v>
      </c>
      <c r="C250" s="92">
        <v>45357</v>
      </c>
      <c r="D250" s="4" t="s">
        <v>14</v>
      </c>
      <c r="E250" s="4" t="s">
        <v>31</v>
      </c>
      <c r="F250">
        <v>3529</v>
      </c>
      <c r="G250">
        <v>263</v>
      </c>
      <c r="H250">
        <v>107</v>
      </c>
      <c r="I250">
        <v>26570</v>
      </c>
      <c r="J250">
        <v>19367</v>
      </c>
      <c r="K250">
        <v>96</v>
      </c>
      <c r="L250" s="4" t="s">
        <v>19</v>
      </c>
      <c r="M250" s="4"/>
      <c r="N250" s="4" t="s">
        <v>20</v>
      </c>
      <c r="O250" s="33">
        <f t="shared" si="3"/>
        <v>0.14674444862627023</v>
      </c>
      <c r="P250" s="92">
        <f>(_xlfn.XLOOKUP(Table1__3[[#This Row],[Campaign_Name]],Table3[Campaign_Name],Table3[Start_Date]))</f>
        <v>45717</v>
      </c>
      <c r="Q250" s="92">
        <f>(_xlfn.XLOOKUP(Table1__3[[#This Row],[Campaign_Name]],Table3[Campaign_Name],Table3[End_Date]))</f>
        <v>45747</v>
      </c>
      <c r="R250" s="4" t="str">
        <f>IF(Table1__3[[#This Row],[Date]] &lt; Table1__3[[#This Row],[Start_Date]], "Before",
   IF(AND(Table1__3[[#This Row],[Date]] &gt;= Table1__3[[#This Row],[Start_Date]], Table1__3[[#This Row],[Date]] &lt;= Table1__3[[#This Row],[End_Date]]), "During",
   "After"))</f>
        <v>Before</v>
      </c>
      <c r="S250" s="31"/>
      <c r="T250" s="31"/>
    </row>
    <row r="251" spans="1:20">
      <c r="A251" s="4" t="s">
        <v>284</v>
      </c>
      <c r="B251" s="4" t="s">
        <v>22</v>
      </c>
      <c r="C251" s="92">
        <v>45792</v>
      </c>
      <c r="D251" s="4" t="s">
        <v>14</v>
      </c>
      <c r="E251" s="4" t="s">
        <v>46</v>
      </c>
      <c r="F251">
        <v>4782</v>
      </c>
      <c r="G251">
        <v>210</v>
      </c>
      <c r="H251">
        <v>311</v>
      </c>
      <c r="I251">
        <v>29793</v>
      </c>
      <c r="J251">
        <v>37543</v>
      </c>
      <c r="K251">
        <v>145</v>
      </c>
      <c r="L251" s="4" t="s">
        <v>37</v>
      </c>
      <c r="M251" s="4"/>
      <c r="N251" s="4" t="s">
        <v>16</v>
      </c>
      <c r="O251" s="33">
        <f t="shared" si="3"/>
        <v>0.17799483100057059</v>
      </c>
      <c r="P251" s="92">
        <f>(_xlfn.XLOOKUP(Table1__3[[#This Row],[Campaign_Name]],Table3[Campaign_Name],Table3[Start_Date]))</f>
        <v>45667</v>
      </c>
      <c r="Q251" s="92">
        <f>(_xlfn.XLOOKUP(Table1__3[[#This Row],[Campaign_Name]],Table3[Campaign_Name],Table3[End_Date]))</f>
        <v>45698</v>
      </c>
      <c r="R251" s="4" t="str">
        <f>IF(Table1__3[[#This Row],[Date]] &lt; Table1__3[[#This Row],[Start_Date]], "Before",
   IF(AND(Table1__3[[#This Row],[Date]] &gt;= Table1__3[[#This Row],[Start_Date]], Table1__3[[#This Row],[Date]] &lt;= Table1__3[[#This Row],[End_Date]]), "During",
   "After"))</f>
        <v>After</v>
      </c>
      <c r="S251" s="31"/>
      <c r="T251" s="31"/>
    </row>
    <row r="252" spans="1:20">
      <c r="A252" s="4" t="s">
        <v>285</v>
      </c>
      <c r="B252" s="4" t="s">
        <v>22</v>
      </c>
      <c r="C252" s="92">
        <v>45480</v>
      </c>
      <c r="D252" s="4" t="s">
        <v>14</v>
      </c>
      <c r="E252" s="4" t="s">
        <v>31</v>
      </c>
      <c r="F252">
        <v>1848</v>
      </c>
      <c r="G252">
        <v>417</v>
      </c>
      <c r="H252">
        <v>294</v>
      </c>
      <c r="I252">
        <v>57819</v>
      </c>
      <c r="J252">
        <v>19798</v>
      </c>
      <c r="K252">
        <v>262</v>
      </c>
      <c r="L252" s="4" t="s">
        <v>40</v>
      </c>
      <c r="M252" s="4"/>
      <c r="N252" s="4" t="s">
        <v>20</v>
      </c>
      <c r="O252" s="33">
        <f t="shared" si="3"/>
        <v>4.4258807658382193E-2</v>
      </c>
      <c r="P252" s="92">
        <f>(_xlfn.XLOOKUP(Table1__3[[#This Row],[Campaign_Name]],Table3[Campaign_Name],Table3[Start_Date]))</f>
        <v>45717</v>
      </c>
      <c r="Q252" s="92">
        <f>(_xlfn.XLOOKUP(Table1__3[[#This Row],[Campaign_Name]],Table3[Campaign_Name],Table3[End_Date]))</f>
        <v>45747</v>
      </c>
      <c r="R252" s="4" t="str">
        <f>IF(Table1__3[[#This Row],[Date]] &lt; Table1__3[[#This Row],[Start_Date]], "Before",
   IF(AND(Table1__3[[#This Row],[Date]] &gt;= Table1__3[[#This Row],[Start_Date]], Table1__3[[#This Row],[Date]] &lt;= Table1__3[[#This Row],[End_Date]]), "During",
   "After"))</f>
        <v>Before</v>
      </c>
      <c r="S252" s="31"/>
      <c r="T252" s="31"/>
    </row>
    <row r="253" spans="1:20">
      <c r="A253" s="4" t="s">
        <v>286</v>
      </c>
      <c r="B253" s="4" t="s">
        <v>28</v>
      </c>
      <c r="C253" s="92">
        <v>45591</v>
      </c>
      <c r="D253" s="4" t="s">
        <v>14</v>
      </c>
      <c r="E253" s="4" t="s">
        <v>24</v>
      </c>
      <c r="F253">
        <v>4676</v>
      </c>
      <c r="G253">
        <v>211</v>
      </c>
      <c r="H253">
        <v>55</v>
      </c>
      <c r="I253">
        <v>45917</v>
      </c>
      <c r="J253">
        <v>73503</v>
      </c>
      <c r="K253">
        <v>248</v>
      </c>
      <c r="L253" s="4" t="s">
        <v>19</v>
      </c>
      <c r="M253" s="4" t="s">
        <v>364</v>
      </c>
      <c r="N253" s="4" t="s">
        <v>20</v>
      </c>
      <c r="O253" s="33">
        <f t="shared" si="3"/>
        <v>0.10762898272970794</v>
      </c>
      <c r="P253" s="92">
        <f>(_xlfn.XLOOKUP(Table1__3[[#This Row],[Campaign_Name]],Table3[Campaign_Name],Table3[Start_Date]))</f>
        <v>45717</v>
      </c>
      <c r="Q253" s="92">
        <f>(_xlfn.XLOOKUP(Table1__3[[#This Row],[Campaign_Name]],Table3[Campaign_Name],Table3[End_Date]))</f>
        <v>45747</v>
      </c>
      <c r="R253" s="4" t="str">
        <f>IF(Table1__3[[#This Row],[Date]] &lt; Table1__3[[#This Row],[Start_Date]], "Before",
   IF(AND(Table1__3[[#This Row],[Date]] &gt;= Table1__3[[#This Row],[Start_Date]], Table1__3[[#This Row],[Date]] &lt;= Table1__3[[#This Row],[End_Date]]), "During",
   "After"))</f>
        <v>Before</v>
      </c>
      <c r="S253" s="31"/>
      <c r="T253" s="31"/>
    </row>
    <row r="254" spans="1:20">
      <c r="A254" s="4" t="s">
        <v>287</v>
      </c>
      <c r="B254" s="4" t="s">
        <v>28</v>
      </c>
      <c r="C254" s="92">
        <v>45512</v>
      </c>
      <c r="D254" s="4" t="s">
        <v>14</v>
      </c>
      <c r="E254" s="4" t="s">
        <v>44</v>
      </c>
      <c r="F254">
        <v>1994</v>
      </c>
      <c r="G254">
        <v>197</v>
      </c>
      <c r="H254">
        <v>290</v>
      </c>
      <c r="I254">
        <v>49500</v>
      </c>
      <c r="J254">
        <v>23343</v>
      </c>
      <c r="K254">
        <v>160</v>
      </c>
      <c r="L254" s="4" t="s">
        <v>19</v>
      </c>
      <c r="M254" s="4" t="s">
        <v>364</v>
      </c>
      <c r="N254" s="4" t="s">
        <v>20</v>
      </c>
      <c r="O254" s="33">
        <f t="shared" si="3"/>
        <v>5.0121212121212122E-2</v>
      </c>
      <c r="P254" s="92">
        <f>(_xlfn.XLOOKUP(Table1__3[[#This Row],[Campaign_Name]],Table3[Campaign_Name],Table3[Start_Date]))</f>
        <v>45717</v>
      </c>
      <c r="Q254" s="92">
        <f>(_xlfn.XLOOKUP(Table1__3[[#This Row],[Campaign_Name]],Table3[Campaign_Name],Table3[End_Date]))</f>
        <v>45747</v>
      </c>
      <c r="R254" s="4" t="str">
        <f>IF(Table1__3[[#This Row],[Date]] &lt; Table1__3[[#This Row],[Start_Date]], "Before",
   IF(AND(Table1__3[[#This Row],[Date]] &gt;= Table1__3[[#This Row],[Start_Date]], Table1__3[[#This Row],[Date]] &lt;= Table1__3[[#This Row],[End_Date]]), "During",
   "After"))</f>
        <v>Before</v>
      </c>
      <c r="S254" s="31"/>
      <c r="T254" s="31"/>
    </row>
    <row r="255" spans="1:20">
      <c r="A255" s="4" t="s">
        <v>288</v>
      </c>
      <c r="B255" s="4" t="s">
        <v>22</v>
      </c>
      <c r="C255" s="92">
        <v>45691</v>
      </c>
      <c r="D255" s="4" t="s">
        <v>14</v>
      </c>
      <c r="E255" s="4" t="s">
        <v>31</v>
      </c>
      <c r="F255">
        <v>4995</v>
      </c>
      <c r="G255">
        <v>231</v>
      </c>
      <c r="H255">
        <v>94</v>
      </c>
      <c r="I255">
        <v>34431</v>
      </c>
      <c r="J255">
        <v>32560</v>
      </c>
      <c r="K255">
        <v>262</v>
      </c>
      <c r="L255" s="4" t="s">
        <v>37</v>
      </c>
      <c r="M255" s="4"/>
      <c r="N255" s="4" t="s">
        <v>16</v>
      </c>
      <c r="O255" s="33">
        <f t="shared" si="3"/>
        <v>0.15451192239551567</v>
      </c>
      <c r="P255" s="92">
        <f>(_xlfn.XLOOKUP(Table1__3[[#This Row],[Campaign_Name]],Table3[Campaign_Name],Table3[Start_Date]))</f>
        <v>45667</v>
      </c>
      <c r="Q255" s="92">
        <f>(_xlfn.XLOOKUP(Table1__3[[#This Row],[Campaign_Name]],Table3[Campaign_Name],Table3[End_Date]))</f>
        <v>45698</v>
      </c>
      <c r="R255" s="4" t="str">
        <f>IF(Table1__3[[#This Row],[Date]] &lt; Table1__3[[#This Row],[Start_Date]], "Before",
   IF(AND(Table1__3[[#This Row],[Date]] &gt;= Table1__3[[#This Row],[Start_Date]], Table1__3[[#This Row],[Date]] &lt;= Table1__3[[#This Row],[End_Date]]), "During",
   "After"))</f>
        <v>During</v>
      </c>
      <c r="S255" s="31"/>
      <c r="T255" s="31"/>
    </row>
    <row r="256" spans="1:20">
      <c r="A256" s="4" t="s">
        <v>289</v>
      </c>
      <c r="B256" s="4" t="s">
        <v>22</v>
      </c>
      <c r="C256" s="92">
        <v>45385</v>
      </c>
      <c r="D256" s="4" t="s">
        <v>23</v>
      </c>
      <c r="E256" s="4" t="s">
        <v>36</v>
      </c>
      <c r="F256">
        <v>2291</v>
      </c>
      <c r="G256">
        <v>146</v>
      </c>
      <c r="H256">
        <v>399</v>
      </c>
      <c r="I256">
        <v>49319</v>
      </c>
      <c r="J256">
        <v>28056</v>
      </c>
      <c r="K256">
        <v>90</v>
      </c>
      <c r="L256" s="4" t="s">
        <v>19</v>
      </c>
      <c r="M256" s="4" t="s">
        <v>363</v>
      </c>
      <c r="N256" s="4" t="s">
        <v>16</v>
      </c>
      <c r="O256" s="33">
        <f t="shared" si="3"/>
        <v>5.7503193495407452E-2</v>
      </c>
      <c r="P256" s="92">
        <f>(_xlfn.XLOOKUP(Table1__3[[#This Row],[Campaign_Name]],Table3[Campaign_Name],Table3[Start_Date]))</f>
        <v>45667</v>
      </c>
      <c r="Q256" s="92">
        <f>(_xlfn.XLOOKUP(Table1__3[[#This Row],[Campaign_Name]],Table3[Campaign_Name],Table3[End_Date]))</f>
        <v>45698</v>
      </c>
      <c r="R256" s="4" t="str">
        <f>IF(Table1__3[[#This Row],[Date]] &lt; Table1__3[[#This Row],[Start_Date]], "Before",
   IF(AND(Table1__3[[#This Row],[Date]] &gt;= Table1__3[[#This Row],[Start_Date]], Table1__3[[#This Row],[Date]] &lt;= Table1__3[[#This Row],[End_Date]]), "During",
   "After"))</f>
        <v>Before</v>
      </c>
      <c r="S256" s="31"/>
      <c r="T256" s="31"/>
    </row>
    <row r="257" spans="1:20">
      <c r="A257" s="4" t="s">
        <v>290</v>
      </c>
      <c r="B257" s="4" t="s">
        <v>22</v>
      </c>
      <c r="C257" s="92">
        <v>45481</v>
      </c>
      <c r="D257" s="4" t="s">
        <v>23</v>
      </c>
      <c r="E257" s="4" t="s">
        <v>26</v>
      </c>
      <c r="F257">
        <v>2304</v>
      </c>
      <c r="G257">
        <v>289</v>
      </c>
      <c r="H257">
        <v>161</v>
      </c>
      <c r="I257">
        <v>52645</v>
      </c>
      <c r="J257">
        <v>66262</v>
      </c>
      <c r="K257">
        <v>146</v>
      </c>
      <c r="L257" s="4" t="s">
        <v>363</v>
      </c>
      <c r="M257" s="4" t="s">
        <v>37</v>
      </c>
      <c r="N257" s="4" t="s">
        <v>16</v>
      </c>
      <c r="O257" s="33">
        <f t="shared" si="3"/>
        <v>5.2312660271630736E-2</v>
      </c>
      <c r="P257" s="92">
        <f>(_xlfn.XLOOKUP(Table1__3[[#This Row],[Campaign_Name]],Table3[Campaign_Name],Table3[Start_Date]))</f>
        <v>45667</v>
      </c>
      <c r="Q257" s="92">
        <f>(_xlfn.XLOOKUP(Table1__3[[#This Row],[Campaign_Name]],Table3[Campaign_Name],Table3[End_Date]))</f>
        <v>45698</v>
      </c>
      <c r="R257" s="4" t="str">
        <f>IF(Table1__3[[#This Row],[Date]] &lt; Table1__3[[#This Row],[Start_Date]], "Before",
   IF(AND(Table1__3[[#This Row],[Date]] &gt;= Table1__3[[#This Row],[Start_Date]], Table1__3[[#This Row],[Date]] &lt;= Table1__3[[#This Row],[End_Date]]), "During",
   "After"))</f>
        <v>Before</v>
      </c>
      <c r="S257" s="31"/>
      <c r="T257" s="31"/>
    </row>
    <row r="258" spans="1:20">
      <c r="A258" s="4" t="s">
        <v>291</v>
      </c>
      <c r="B258" s="4" t="s">
        <v>22</v>
      </c>
      <c r="C258" s="92">
        <v>45451</v>
      </c>
      <c r="D258" s="4" t="s">
        <v>23</v>
      </c>
      <c r="E258" s="4" t="s">
        <v>36</v>
      </c>
      <c r="F258">
        <v>3413</v>
      </c>
      <c r="G258">
        <v>326</v>
      </c>
      <c r="H258">
        <v>86</v>
      </c>
      <c r="I258">
        <v>44680</v>
      </c>
      <c r="J258">
        <v>52719</v>
      </c>
      <c r="K258">
        <v>272</v>
      </c>
      <c r="L258" s="4" t="s">
        <v>19</v>
      </c>
      <c r="M258" s="4" t="s">
        <v>363</v>
      </c>
      <c r="N258" s="4" t="s">
        <v>16</v>
      </c>
      <c r="O258" s="33">
        <f t="shared" ref="O258:O301" si="4">(F258+G258+H258)/I258</f>
        <v>8.5608773500447627E-2</v>
      </c>
      <c r="P258" s="92">
        <f>(_xlfn.XLOOKUP(Table1__3[[#This Row],[Campaign_Name]],Table3[Campaign_Name],Table3[Start_Date]))</f>
        <v>45667</v>
      </c>
      <c r="Q258" s="92">
        <f>(_xlfn.XLOOKUP(Table1__3[[#This Row],[Campaign_Name]],Table3[Campaign_Name],Table3[End_Date]))</f>
        <v>45698</v>
      </c>
      <c r="R258" s="4" t="str">
        <f>IF(Table1__3[[#This Row],[Date]] &lt; Table1__3[[#This Row],[Start_Date]], "Before",
   IF(AND(Table1__3[[#This Row],[Date]] &gt;= Table1__3[[#This Row],[Start_Date]], Table1__3[[#This Row],[Date]] &lt;= Table1__3[[#This Row],[End_Date]]), "During",
   "After"))</f>
        <v>Before</v>
      </c>
      <c r="S258" s="31"/>
      <c r="T258" s="31"/>
    </row>
    <row r="259" spans="1:20">
      <c r="A259" s="4" t="s">
        <v>292</v>
      </c>
      <c r="B259" s="4" t="s">
        <v>28</v>
      </c>
      <c r="C259" s="92">
        <v>45736</v>
      </c>
      <c r="D259" s="4" t="s">
        <v>52</v>
      </c>
      <c r="E259" s="4" t="s">
        <v>44</v>
      </c>
      <c r="F259">
        <v>1453</v>
      </c>
      <c r="G259">
        <v>156</v>
      </c>
      <c r="H259">
        <v>178</v>
      </c>
      <c r="I259">
        <v>52980</v>
      </c>
      <c r="J259">
        <v>57180</v>
      </c>
      <c r="K259">
        <v>286</v>
      </c>
      <c r="L259" s="4" t="s">
        <v>19</v>
      </c>
      <c r="M259" s="4" t="s">
        <v>40</v>
      </c>
      <c r="N259" s="4" t="s">
        <v>53</v>
      </c>
      <c r="O259" s="33">
        <f t="shared" si="4"/>
        <v>3.3729709324273313E-2</v>
      </c>
      <c r="P259" s="92">
        <f>(_xlfn.XLOOKUP(Table1__3[[#This Row],[Campaign_Name]],Table3[Campaign_Name],Table3[Start_Date]))</f>
        <v>45458</v>
      </c>
      <c r="Q259" s="92">
        <f>(_xlfn.XLOOKUP(Table1__3[[#This Row],[Campaign_Name]],Table3[Campaign_Name],Table3[End_Date]))</f>
        <v>45488</v>
      </c>
      <c r="R259" s="4" t="str">
        <f>IF(Table1__3[[#This Row],[Date]] &lt; Table1__3[[#This Row],[Start_Date]], "Before",
   IF(AND(Table1__3[[#This Row],[Date]] &gt;= Table1__3[[#This Row],[Start_Date]], Table1__3[[#This Row],[Date]] &lt;= Table1__3[[#This Row],[End_Date]]), "During",
   "After"))</f>
        <v>After</v>
      </c>
      <c r="S259" s="31"/>
      <c r="T259" s="31"/>
    </row>
    <row r="260" spans="1:20">
      <c r="A260" s="4" t="s">
        <v>293</v>
      </c>
      <c r="B260" s="4" t="s">
        <v>22</v>
      </c>
      <c r="C260" s="92">
        <v>45676</v>
      </c>
      <c r="D260" s="4" t="s">
        <v>23</v>
      </c>
      <c r="E260" s="4" t="s">
        <v>29</v>
      </c>
      <c r="F260">
        <v>1651</v>
      </c>
      <c r="G260">
        <v>480</v>
      </c>
      <c r="H260">
        <v>282</v>
      </c>
      <c r="I260">
        <v>32140</v>
      </c>
      <c r="J260">
        <v>70560</v>
      </c>
      <c r="K260">
        <v>138</v>
      </c>
      <c r="L260" s="4" t="s">
        <v>40</v>
      </c>
      <c r="M260" s="4" t="s">
        <v>37</v>
      </c>
      <c r="N260" s="4" t="s">
        <v>16</v>
      </c>
      <c r="O260" s="33">
        <f t="shared" si="4"/>
        <v>7.5077784691972627E-2</v>
      </c>
      <c r="P260" s="92">
        <f>(_xlfn.XLOOKUP(Table1__3[[#This Row],[Campaign_Name]],Table3[Campaign_Name],Table3[Start_Date]))</f>
        <v>45667</v>
      </c>
      <c r="Q260" s="92">
        <f>(_xlfn.XLOOKUP(Table1__3[[#This Row],[Campaign_Name]],Table3[Campaign_Name],Table3[End_Date]))</f>
        <v>45698</v>
      </c>
      <c r="R260" s="4" t="str">
        <f>IF(Table1__3[[#This Row],[Date]] &lt; Table1__3[[#This Row],[Start_Date]], "Before",
   IF(AND(Table1__3[[#This Row],[Date]] &gt;= Table1__3[[#This Row],[Start_Date]], Table1__3[[#This Row],[Date]] &lt;= Table1__3[[#This Row],[End_Date]]), "During",
   "After"))</f>
        <v>During</v>
      </c>
      <c r="S260" s="31"/>
      <c r="T260" s="31"/>
    </row>
    <row r="261" spans="1:20">
      <c r="A261" s="4" t="s">
        <v>294</v>
      </c>
      <c r="B261" s="4" t="s">
        <v>22</v>
      </c>
      <c r="C261" s="92">
        <v>45662</v>
      </c>
      <c r="D261" s="4" t="s">
        <v>23</v>
      </c>
      <c r="E261" s="4" t="s">
        <v>18</v>
      </c>
      <c r="F261">
        <v>3341</v>
      </c>
      <c r="G261">
        <v>154</v>
      </c>
      <c r="H261">
        <v>123</v>
      </c>
      <c r="I261">
        <v>43369</v>
      </c>
      <c r="J261">
        <v>49035</v>
      </c>
      <c r="K261">
        <v>128</v>
      </c>
      <c r="L261" s="4" t="s">
        <v>363</v>
      </c>
      <c r="M261" s="4" t="s">
        <v>37</v>
      </c>
      <c r="N261" s="4" t="s">
        <v>16</v>
      </c>
      <c r="O261" s="33">
        <f t="shared" si="4"/>
        <v>8.3423643616408028E-2</v>
      </c>
      <c r="P261" s="92">
        <f>(_xlfn.XLOOKUP(Table1__3[[#This Row],[Campaign_Name]],Table3[Campaign_Name],Table3[Start_Date]))</f>
        <v>45667</v>
      </c>
      <c r="Q261" s="92">
        <f>(_xlfn.XLOOKUP(Table1__3[[#This Row],[Campaign_Name]],Table3[Campaign_Name],Table3[End_Date]))</f>
        <v>45698</v>
      </c>
      <c r="R261" s="4" t="str">
        <f>IF(Table1__3[[#This Row],[Date]] &lt; Table1__3[[#This Row],[Start_Date]], "Before",
   IF(AND(Table1__3[[#This Row],[Date]] &gt;= Table1__3[[#This Row],[Start_Date]], Table1__3[[#This Row],[Date]] &lt;= Table1__3[[#This Row],[End_Date]]), "During",
   "After"))</f>
        <v>Before</v>
      </c>
      <c r="S261" s="31"/>
      <c r="T261" s="31"/>
    </row>
    <row r="262" spans="1:20">
      <c r="A262" s="4" t="s">
        <v>295</v>
      </c>
      <c r="B262" s="4" t="s">
        <v>22</v>
      </c>
      <c r="C262" s="92">
        <v>45612</v>
      </c>
      <c r="D262" s="4" t="s">
        <v>14</v>
      </c>
      <c r="E262" s="4" t="s">
        <v>44</v>
      </c>
      <c r="F262">
        <v>2972</v>
      </c>
      <c r="G262">
        <v>263</v>
      </c>
      <c r="H262">
        <v>308</v>
      </c>
      <c r="I262">
        <v>51740</v>
      </c>
      <c r="J262">
        <v>28214</v>
      </c>
      <c r="K262">
        <v>190</v>
      </c>
      <c r="L262" s="4" t="s">
        <v>40</v>
      </c>
      <c r="M262" s="4"/>
      <c r="N262" s="4" t="s">
        <v>20</v>
      </c>
      <c r="O262" s="33">
        <f t="shared" si="4"/>
        <v>6.8477000386548123E-2</v>
      </c>
      <c r="P262" s="92">
        <f>(_xlfn.XLOOKUP(Table1__3[[#This Row],[Campaign_Name]],Table3[Campaign_Name],Table3[Start_Date]))</f>
        <v>45717</v>
      </c>
      <c r="Q262" s="92">
        <f>(_xlfn.XLOOKUP(Table1__3[[#This Row],[Campaign_Name]],Table3[Campaign_Name],Table3[End_Date]))</f>
        <v>45747</v>
      </c>
      <c r="R262" s="4" t="str">
        <f>IF(Table1__3[[#This Row],[Date]] &lt; Table1__3[[#This Row],[Start_Date]], "Before",
   IF(AND(Table1__3[[#This Row],[Date]] &gt;= Table1__3[[#This Row],[Start_Date]], Table1__3[[#This Row],[Date]] &lt;= Table1__3[[#This Row],[End_Date]]), "During",
   "After"))</f>
        <v>Before</v>
      </c>
      <c r="S262" s="31"/>
      <c r="T262" s="31"/>
    </row>
    <row r="263" spans="1:20">
      <c r="A263" s="4" t="s">
        <v>296</v>
      </c>
      <c r="B263" s="4" t="s">
        <v>22</v>
      </c>
      <c r="C263" s="92">
        <v>45626</v>
      </c>
      <c r="D263" s="4" t="s">
        <v>23</v>
      </c>
      <c r="E263" s="4" t="s">
        <v>18</v>
      </c>
      <c r="F263">
        <v>4963</v>
      </c>
      <c r="G263">
        <v>255</v>
      </c>
      <c r="H263">
        <v>193</v>
      </c>
      <c r="I263">
        <v>44386</v>
      </c>
      <c r="J263">
        <v>28415</v>
      </c>
      <c r="K263">
        <v>174</v>
      </c>
      <c r="L263" s="4" t="s">
        <v>363</v>
      </c>
      <c r="M263" s="4" t="s">
        <v>37</v>
      </c>
      <c r="N263" s="4" t="s">
        <v>16</v>
      </c>
      <c r="O263" s="33">
        <f t="shared" si="4"/>
        <v>0.12190780876853062</v>
      </c>
      <c r="P263" s="92">
        <f>(_xlfn.XLOOKUP(Table1__3[[#This Row],[Campaign_Name]],Table3[Campaign_Name],Table3[Start_Date]))</f>
        <v>45667</v>
      </c>
      <c r="Q263" s="92">
        <f>(_xlfn.XLOOKUP(Table1__3[[#This Row],[Campaign_Name]],Table3[Campaign_Name],Table3[End_Date]))</f>
        <v>45698</v>
      </c>
      <c r="R263" s="4" t="str">
        <f>IF(Table1__3[[#This Row],[Date]] &lt; Table1__3[[#This Row],[Start_Date]], "Before",
   IF(AND(Table1__3[[#This Row],[Date]] &gt;= Table1__3[[#This Row],[Start_Date]], Table1__3[[#This Row],[Date]] &lt;= Table1__3[[#This Row],[End_Date]]), "During",
   "After"))</f>
        <v>Before</v>
      </c>
      <c r="S263" s="31"/>
      <c r="T263" s="31"/>
    </row>
    <row r="264" spans="1:20">
      <c r="A264" s="4" t="s">
        <v>297</v>
      </c>
      <c r="B264" s="4" t="s">
        <v>28</v>
      </c>
      <c r="C264" s="92">
        <v>45378</v>
      </c>
      <c r="D264" s="4" t="s">
        <v>14</v>
      </c>
      <c r="E264" s="4" t="s">
        <v>29</v>
      </c>
      <c r="F264">
        <v>2399</v>
      </c>
      <c r="G264">
        <v>191</v>
      </c>
      <c r="H264">
        <v>221</v>
      </c>
      <c r="I264">
        <v>51603</v>
      </c>
      <c r="J264">
        <v>40033</v>
      </c>
      <c r="K264">
        <v>173</v>
      </c>
      <c r="L264" s="4" t="s">
        <v>19</v>
      </c>
      <c r="M264" s="4" t="s">
        <v>364</v>
      </c>
      <c r="N264" s="4" t="s">
        <v>20</v>
      </c>
      <c r="O264" s="33">
        <f t="shared" si="4"/>
        <v>5.4473577117609438E-2</v>
      </c>
      <c r="P264" s="92">
        <f>(_xlfn.XLOOKUP(Table1__3[[#This Row],[Campaign_Name]],Table3[Campaign_Name],Table3[Start_Date]))</f>
        <v>45717</v>
      </c>
      <c r="Q264" s="92">
        <f>(_xlfn.XLOOKUP(Table1__3[[#This Row],[Campaign_Name]],Table3[Campaign_Name],Table3[End_Date]))</f>
        <v>45747</v>
      </c>
      <c r="R264" s="4" t="str">
        <f>IF(Table1__3[[#This Row],[Date]] &lt; Table1__3[[#This Row],[Start_Date]], "Before",
   IF(AND(Table1__3[[#This Row],[Date]] &gt;= Table1__3[[#This Row],[Start_Date]], Table1__3[[#This Row],[Date]] &lt;= Table1__3[[#This Row],[End_Date]]), "During",
   "After"))</f>
        <v>Before</v>
      </c>
      <c r="S264" s="31"/>
      <c r="T264" s="31"/>
    </row>
    <row r="265" spans="1:20">
      <c r="A265" s="4" t="s">
        <v>298</v>
      </c>
      <c r="B265" s="4" t="s">
        <v>28</v>
      </c>
      <c r="C265" s="92">
        <v>45808</v>
      </c>
      <c r="D265" s="4" t="s">
        <v>52</v>
      </c>
      <c r="E265" s="4" t="s">
        <v>33</v>
      </c>
      <c r="F265">
        <v>2162</v>
      </c>
      <c r="G265">
        <v>318</v>
      </c>
      <c r="H265">
        <v>83</v>
      </c>
      <c r="I265">
        <v>46719</v>
      </c>
      <c r="J265">
        <v>20482</v>
      </c>
      <c r="K265">
        <v>185</v>
      </c>
      <c r="L265" s="4" t="s">
        <v>19</v>
      </c>
      <c r="M265" s="4" t="s">
        <v>40</v>
      </c>
      <c r="N265" s="4" t="s">
        <v>53</v>
      </c>
      <c r="O265" s="33">
        <f t="shared" si="4"/>
        <v>5.4859907104176028E-2</v>
      </c>
      <c r="P265" s="92">
        <f>(_xlfn.XLOOKUP(Table1__3[[#This Row],[Campaign_Name]],Table3[Campaign_Name],Table3[Start_Date]))</f>
        <v>45458</v>
      </c>
      <c r="Q265" s="92">
        <f>(_xlfn.XLOOKUP(Table1__3[[#This Row],[Campaign_Name]],Table3[Campaign_Name],Table3[End_Date]))</f>
        <v>45488</v>
      </c>
      <c r="R265" s="4" t="str">
        <f>IF(Table1__3[[#This Row],[Date]] &lt; Table1__3[[#This Row],[Start_Date]], "Before",
   IF(AND(Table1__3[[#This Row],[Date]] &gt;= Table1__3[[#This Row],[Start_Date]], Table1__3[[#This Row],[Date]] &lt;= Table1__3[[#This Row],[End_Date]]), "During",
   "After"))</f>
        <v>After</v>
      </c>
      <c r="S265" s="31"/>
      <c r="T265" s="31"/>
    </row>
    <row r="266" spans="1:20">
      <c r="A266" s="4" t="s">
        <v>299</v>
      </c>
      <c r="B266" s="4" t="s">
        <v>22</v>
      </c>
      <c r="C266" s="92">
        <v>45825</v>
      </c>
      <c r="D266" s="4" t="s">
        <v>23</v>
      </c>
      <c r="E266" s="4" t="s">
        <v>18</v>
      </c>
      <c r="F266">
        <v>4341</v>
      </c>
      <c r="G266">
        <v>141</v>
      </c>
      <c r="H266">
        <v>63</v>
      </c>
      <c r="I266">
        <v>50081</v>
      </c>
      <c r="J266">
        <v>27507</v>
      </c>
      <c r="K266">
        <v>221</v>
      </c>
      <c r="L266" s="4" t="s">
        <v>19</v>
      </c>
      <c r="M266" s="4" t="s">
        <v>363</v>
      </c>
      <c r="N266" s="4" t="s">
        <v>16</v>
      </c>
      <c r="O266" s="33">
        <f t="shared" si="4"/>
        <v>9.0752980172121162E-2</v>
      </c>
      <c r="P266" s="92">
        <f>(_xlfn.XLOOKUP(Table1__3[[#This Row],[Campaign_Name]],Table3[Campaign_Name],Table3[Start_Date]))</f>
        <v>45667</v>
      </c>
      <c r="Q266" s="92">
        <f>(_xlfn.XLOOKUP(Table1__3[[#This Row],[Campaign_Name]],Table3[Campaign_Name],Table3[End_Date]))</f>
        <v>45698</v>
      </c>
      <c r="R266" s="4" t="str">
        <f>IF(Table1__3[[#This Row],[Date]] &lt; Table1__3[[#This Row],[Start_Date]], "Before",
   IF(AND(Table1__3[[#This Row],[Date]] &gt;= Table1__3[[#This Row],[Start_Date]], Table1__3[[#This Row],[Date]] &lt;= Table1__3[[#This Row],[End_Date]]), "During",
   "After"))</f>
        <v>After</v>
      </c>
      <c r="S266" s="31"/>
      <c r="T266" s="31"/>
    </row>
    <row r="267" spans="1:20">
      <c r="A267" s="4" t="s">
        <v>300</v>
      </c>
      <c r="B267" s="4" t="s">
        <v>13</v>
      </c>
      <c r="C267" s="92">
        <v>45442</v>
      </c>
      <c r="D267" s="4" t="s">
        <v>23</v>
      </c>
      <c r="E267" s="4" t="s">
        <v>33</v>
      </c>
      <c r="F267">
        <v>2448</v>
      </c>
      <c r="G267">
        <v>464</v>
      </c>
      <c r="H267">
        <v>98</v>
      </c>
      <c r="I267">
        <v>25737</v>
      </c>
      <c r="J267">
        <v>48545</v>
      </c>
      <c r="K267">
        <v>246</v>
      </c>
      <c r="L267" s="4" t="s">
        <v>37</v>
      </c>
      <c r="M267" s="4"/>
      <c r="N267" s="4" t="s">
        <v>50</v>
      </c>
      <c r="O267" s="33">
        <f t="shared" si="4"/>
        <v>0.11695224773672146</v>
      </c>
      <c r="P267" s="92">
        <f>(_xlfn.XLOOKUP(Table1__3[[#This Row],[Campaign_Name]],Table3[Campaign_Name],Table3[Start_Date]))</f>
        <v>45627</v>
      </c>
      <c r="Q267" s="92">
        <f>(_xlfn.XLOOKUP(Table1__3[[#This Row],[Campaign_Name]],Table3[Campaign_Name],Table3[End_Date]))</f>
        <v>45657</v>
      </c>
      <c r="R267" s="4" t="str">
        <f>IF(Table1__3[[#This Row],[Date]] &lt; Table1__3[[#This Row],[Start_Date]], "Before",
   IF(AND(Table1__3[[#This Row],[Date]] &gt;= Table1__3[[#This Row],[Start_Date]], Table1__3[[#This Row],[Date]] &lt;= Table1__3[[#This Row],[End_Date]]), "During",
   "After"))</f>
        <v>Before</v>
      </c>
      <c r="S267" s="31"/>
      <c r="T267" s="31"/>
    </row>
    <row r="268" spans="1:20">
      <c r="A268" s="4" t="s">
        <v>301</v>
      </c>
      <c r="B268" s="4" t="s">
        <v>28</v>
      </c>
      <c r="C268" s="92">
        <v>45604</v>
      </c>
      <c r="D268" s="4" t="s">
        <v>14</v>
      </c>
      <c r="E268" s="4" t="s">
        <v>36</v>
      </c>
      <c r="F268">
        <v>2471</v>
      </c>
      <c r="G268">
        <v>166</v>
      </c>
      <c r="H268">
        <v>320</v>
      </c>
      <c r="I268">
        <v>48254</v>
      </c>
      <c r="J268">
        <v>46900</v>
      </c>
      <c r="K268">
        <v>111</v>
      </c>
      <c r="L268" s="4" t="s">
        <v>19</v>
      </c>
      <c r="M268" s="4" t="s">
        <v>364</v>
      </c>
      <c r="N268" s="4" t="s">
        <v>20</v>
      </c>
      <c r="O268" s="33">
        <f t="shared" si="4"/>
        <v>6.1279893894806647E-2</v>
      </c>
      <c r="P268" s="92">
        <f>(_xlfn.XLOOKUP(Table1__3[[#This Row],[Campaign_Name]],Table3[Campaign_Name],Table3[Start_Date]))</f>
        <v>45717</v>
      </c>
      <c r="Q268" s="92">
        <f>(_xlfn.XLOOKUP(Table1__3[[#This Row],[Campaign_Name]],Table3[Campaign_Name],Table3[End_Date]))</f>
        <v>45747</v>
      </c>
      <c r="R268" s="4" t="str">
        <f>IF(Table1__3[[#This Row],[Date]] &lt; Table1__3[[#This Row],[Start_Date]], "Before",
   IF(AND(Table1__3[[#This Row],[Date]] &gt;= Table1__3[[#This Row],[Start_Date]], Table1__3[[#This Row],[Date]] &lt;= Table1__3[[#This Row],[End_Date]]), "During",
   "After"))</f>
        <v>Before</v>
      </c>
      <c r="S268" s="31"/>
      <c r="T268" s="31"/>
    </row>
    <row r="269" spans="1:20">
      <c r="A269" s="4" t="s">
        <v>302</v>
      </c>
      <c r="B269" s="4" t="s">
        <v>28</v>
      </c>
      <c r="C269" s="92">
        <v>45368</v>
      </c>
      <c r="D269" s="4" t="s">
        <v>52</v>
      </c>
      <c r="E269" s="4" t="s">
        <v>18</v>
      </c>
      <c r="F269">
        <v>2692</v>
      </c>
      <c r="G269">
        <v>446</v>
      </c>
      <c r="H269">
        <v>216</v>
      </c>
      <c r="I269">
        <v>45818</v>
      </c>
      <c r="J269">
        <v>62723</v>
      </c>
      <c r="K269">
        <v>85</v>
      </c>
      <c r="L269" s="4" t="s">
        <v>19</v>
      </c>
      <c r="M269" s="4" t="s">
        <v>40</v>
      </c>
      <c r="N269" s="4" t="s">
        <v>53</v>
      </c>
      <c r="O269" s="33">
        <f t="shared" si="4"/>
        <v>7.3202671439172376E-2</v>
      </c>
      <c r="P269" s="92">
        <f>(_xlfn.XLOOKUP(Table1__3[[#This Row],[Campaign_Name]],Table3[Campaign_Name],Table3[Start_Date]))</f>
        <v>45458</v>
      </c>
      <c r="Q269" s="92">
        <f>(_xlfn.XLOOKUP(Table1__3[[#This Row],[Campaign_Name]],Table3[Campaign_Name],Table3[End_Date]))</f>
        <v>45488</v>
      </c>
      <c r="R269" s="4" t="str">
        <f>IF(Table1__3[[#This Row],[Date]] &lt; Table1__3[[#This Row],[Start_Date]], "Before",
   IF(AND(Table1__3[[#This Row],[Date]] &gt;= Table1__3[[#This Row],[Start_Date]], Table1__3[[#This Row],[Date]] &lt;= Table1__3[[#This Row],[End_Date]]), "During",
   "After"))</f>
        <v>Before</v>
      </c>
      <c r="S269" s="31"/>
      <c r="T269" s="31"/>
    </row>
    <row r="270" spans="1:20">
      <c r="A270" s="4" t="s">
        <v>303</v>
      </c>
      <c r="B270" s="4" t="s">
        <v>28</v>
      </c>
      <c r="C270" s="92">
        <v>45464</v>
      </c>
      <c r="D270" s="4" t="s">
        <v>52</v>
      </c>
      <c r="E270" s="4" t="s">
        <v>29</v>
      </c>
      <c r="F270">
        <v>4621</v>
      </c>
      <c r="G270">
        <v>374</v>
      </c>
      <c r="H270">
        <v>298</v>
      </c>
      <c r="I270">
        <v>56979</v>
      </c>
      <c r="J270">
        <v>24098</v>
      </c>
      <c r="K270">
        <v>205</v>
      </c>
      <c r="L270" s="4" t="s">
        <v>19</v>
      </c>
      <c r="M270" s="4" t="s">
        <v>40</v>
      </c>
      <c r="N270" s="4" t="s">
        <v>53</v>
      </c>
      <c r="O270" s="33">
        <f t="shared" si="4"/>
        <v>9.2893873181347508E-2</v>
      </c>
      <c r="P270" s="92">
        <f>(_xlfn.XLOOKUP(Table1__3[[#This Row],[Campaign_Name]],Table3[Campaign_Name],Table3[Start_Date]))</f>
        <v>45458</v>
      </c>
      <c r="Q270" s="92">
        <f>(_xlfn.XLOOKUP(Table1__3[[#This Row],[Campaign_Name]],Table3[Campaign_Name],Table3[End_Date]))</f>
        <v>45488</v>
      </c>
      <c r="R270" s="4" t="str">
        <f>IF(Table1__3[[#This Row],[Date]] &lt; Table1__3[[#This Row],[Start_Date]], "Before",
   IF(AND(Table1__3[[#This Row],[Date]] &gt;= Table1__3[[#This Row],[Start_Date]], Table1__3[[#This Row],[Date]] &lt;= Table1__3[[#This Row],[End_Date]]), "During",
   "After"))</f>
        <v>During</v>
      </c>
      <c r="S270" s="31"/>
      <c r="T270" s="31"/>
    </row>
    <row r="271" spans="1:20">
      <c r="A271" s="4" t="s">
        <v>304</v>
      </c>
      <c r="B271" s="4" t="s">
        <v>22</v>
      </c>
      <c r="C271" s="92">
        <v>45609</v>
      </c>
      <c r="D271" s="4" t="s">
        <v>23</v>
      </c>
      <c r="E271" s="4" t="s">
        <v>24</v>
      </c>
      <c r="F271">
        <v>1409</v>
      </c>
      <c r="G271">
        <v>466</v>
      </c>
      <c r="H271">
        <v>105</v>
      </c>
      <c r="I271">
        <v>58923</v>
      </c>
      <c r="J271">
        <v>38753</v>
      </c>
      <c r="K271">
        <v>265</v>
      </c>
      <c r="L271" s="4" t="s">
        <v>19</v>
      </c>
      <c r="M271" s="4" t="s">
        <v>363</v>
      </c>
      <c r="N271" s="4" t="s">
        <v>16</v>
      </c>
      <c r="O271" s="33">
        <f t="shared" si="4"/>
        <v>3.3603177027646251E-2</v>
      </c>
      <c r="P271" s="92">
        <f>(_xlfn.XLOOKUP(Table1__3[[#This Row],[Campaign_Name]],Table3[Campaign_Name],Table3[Start_Date]))</f>
        <v>45667</v>
      </c>
      <c r="Q271" s="92">
        <f>(_xlfn.XLOOKUP(Table1__3[[#This Row],[Campaign_Name]],Table3[Campaign_Name],Table3[End_Date]))</f>
        <v>45698</v>
      </c>
      <c r="R271" s="4" t="str">
        <f>IF(Table1__3[[#This Row],[Date]] &lt; Table1__3[[#This Row],[Start_Date]], "Before",
   IF(AND(Table1__3[[#This Row],[Date]] &gt;= Table1__3[[#This Row],[Start_Date]], Table1__3[[#This Row],[Date]] &lt;= Table1__3[[#This Row],[End_Date]]), "During",
   "After"))</f>
        <v>Before</v>
      </c>
      <c r="S271" s="31"/>
      <c r="T271" s="31"/>
    </row>
    <row r="272" spans="1:20">
      <c r="A272" s="4" t="s">
        <v>305</v>
      </c>
      <c r="B272" s="4" t="s">
        <v>22</v>
      </c>
      <c r="C272" s="92">
        <v>45693</v>
      </c>
      <c r="D272" s="4" t="s">
        <v>23</v>
      </c>
      <c r="E272" s="4" t="s">
        <v>15</v>
      </c>
      <c r="F272">
        <v>3029</v>
      </c>
      <c r="G272">
        <v>440</v>
      </c>
      <c r="H272">
        <v>66</v>
      </c>
      <c r="I272">
        <v>23815</v>
      </c>
      <c r="J272">
        <v>47895</v>
      </c>
      <c r="K272">
        <v>210</v>
      </c>
      <c r="L272" s="4" t="s">
        <v>19</v>
      </c>
      <c r="M272" s="4" t="s">
        <v>363</v>
      </c>
      <c r="N272" s="4" t="s">
        <v>16</v>
      </c>
      <c r="O272" s="33">
        <f t="shared" si="4"/>
        <v>0.14843585975225698</v>
      </c>
      <c r="P272" s="92">
        <f>(_xlfn.XLOOKUP(Table1__3[[#This Row],[Campaign_Name]],Table3[Campaign_Name],Table3[Start_Date]))</f>
        <v>45667</v>
      </c>
      <c r="Q272" s="92">
        <f>(_xlfn.XLOOKUP(Table1__3[[#This Row],[Campaign_Name]],Table3[Campaign_Name],Table3[End_Date]))</f>
        <v>45698</v>
      </c>
      <c r="R272" s="4" t="str">
        <f>IF(Table1__3[[#This Row],[Date]] &lt; Table1__3[[#This Row],[Start_Date]], "Before",
   IF(AND(Table1__3[[#This Row],[Date]] &gt;= Table1__3[[#This Row],[Start_Date]], Table1__3[[#This Row],[Date]] &lt;= Table1__3[[#This Row],[End_Date]]), "During",
   "After"))</f>
        <v>During</v>
      </c>
      <c r="S272" s="31"/>
      <c r="T272" s="31"/>
    </row>
    <row r="273" spans="1:20">
      <c r="A273" s="4" t="s">
        <v>306</v>
      </c>
      <c r="B273" s="4" t="s">
        <v>22</v>
      </c>
      <c r="C273" s="92">
        <v>45603</v>
      </c>
      <c r="D273" s="4" t="s">
        <v>14</v>
      </c>
      <c r="E273" s="4" t="s">
        <v>18</v>
      </c>
      <c r="F273">
        <v>2229</v>
      </c>
      <c r="G273">
        <v>395</v>
      </c>
      <c r="H273">
        <v>328</v>
      </c>
      <c r="I273">
        <v>56921</v>
      </c>
      <c r="J273">
        <v>37176</v>
      </c>
      <c r="K273">
        <v>126</v>
      </c>
      <c r="L273" s="4" t="s">
        <v>40</v>
      </c>
      <c r="M273" s="4"/>
      <c r="N273" s="4" t="s">
        <v>20</v>
      </c>
      <c r="O273" s="33">
        <f t="shared" si="4"/>
        <v>5.1861351697967357E-2</v>
      </c>
      <c r="P273" s="92">
        <f>(_xlfn.XLOOKUP(Table1__3[[#This Row],[Campaign_Name]],Table3[Campaign_Name],Table3[Start_Date]))</f>
        <v>45717</v>
      </c>
      <c r="Q273" s="92">
        <f>(_xlfn.XLOOKUP(Table1__3[[#This Row],[Campaign_Name]],Table3[Campaign_Name],Table3[End_Date]))</f>
        <v>45747</v>
      </c>
      <c r="R273" s="4" t="str">
        <f>IF(Table1__3[[#This Row],[Date]] &lt; Table1__3[[#This Row],[Start_Date]], "Before",
   IF(AND(Table1__3[[#This Row],[Date]] &gt;= Table1__3[[#This Row],[Start_Date]], Table1__3[[#This Row],[Date]] &lt;= Table1__3[[#This Row],[End_Date]]), "During",
   "After"))</f>
        <v>Before</v>
      </c>
      <c r="S273" s="31"/>
      <c r="T273" s="31"/>
    </row>
    <row r="274" spans="1:20">
      <c r="A274" s="4" t="s">
        <v>307</v>
      </c>
      <c r="B274" s="4" t="s">
        <v>22</v>
      </c>
      <c r="C274" s="92">
        <v>45334</v>
      </c>
      <c r="D274" s="4" t="s">
        <v>14</v>
      </c>
      <c r="E274" s="4" t="s">
        <v>18</v>
      </c>
      <c r="F274">
        <v>2691</v>
      </c>
      <c r="G274">
        <v>486</v>
      </c>
      <c r="H274">
        <v>206</v>
      </c>
      <c r="I274">
        <v>51133</v>
      </c>
      <c r="J274">
        <v>44583</v>
      </c>
      <c r="K274">
        <v>276</v>
      </c>
      <c r="L274" s="4" t="s">
        <v>37</v>
      </c>
      <c r="M274" s="4"/>
      <c r="N274" s="4" t="s">
        <v>16</v>
      </c>
      <c r="O274" s="33">
        <f t="shared" si="4"/>
        <v>6.6160796354604659E-2</v>
      </c>
      <c r="P274" s="92">
        <f>(_xlfn.XLOOKUP(Table1__3[[#This Row],[Campaign_Name]],Table3[Campaign_Name],Table3[Start_Date]))</f>
        <v>45667</v>
      </c>
      <c r="Q274" s="92">
        <f>(_xlfn.XLOOKUP(Table1__3[[#This Row],[Campaign_Name]],Table3[Campaign_Name],Table3[End_Date]))</f>
        <v>45698</v>
      </c>
      <c r="R274" s="4" t="str">
        <f>IF(Table1__3[[#This Row],[Date]] &lt; Table1__3[[#This Row],[Start_Date]], "Before",
   IF(AND(Table1__3[[#This Row],[Date]] &gt;= Table1__3[[#This Row],[Start_Date]], Table1__3[[#This Row],[Date]] &lt;= Table1__3[[#This Row],[End_Date]]), "During",
   "After"))</f>
        <v>Before</v>
      </c>
      <c r="S274" s="31"/>
      <c r="T274" s="31"/>
    </row>
    <row r="275" spans="1:20">
      <c r="A275" s="4" t="s">
        <v>308</v>
      </c>
      <c r="B275" s="4" t="s">
        <v>13</v>
      </c>
      <c r="C275" s="92">
        <v>45573</v>
      </c>
      <c r="D275" s="4" t="s">
        <v>14</v>
      </c>
      <c r="E275" s="4" t="s">
        <v>18</v>
      </c>
      <c r="F275">
        <v>2110</v>
      </c>
      <c r="G275">
        <v>384</v>
      </c>
      <c r="H275">
        <v>236</v>
      </c>
      <c r="I275">
        <v>49965</v>
      </c>
      <c r="J275">
        <v>61555</v>
      </c>
      <c r="K275">
        <v>195</v>
      </c>
      <c r="L275" s="4" t="s">
        <v>19</v>
      </c>
      <c r="M275" s="4"/>
      <c r="N275" s="4" t="s">
        <v>20</v>
      </c>
      <c r="O275" s="33">
        <f t="shared" si="4"/>
        <v>5.4638246772740921E-2</v>
      </c>
      <c r="P275" s="92">
        <f>(_xlfn.XLOOKUP(Table1__3[[#This Row],[Campaign_Name]],Table3[Campaign_Name],Table3[Start_Date]))</f>
        <v>45717</v>
      </c>
      <c r="Q275" s="92">
        <f>(_xlfn.XLOOKUP(Table1__3[[#This Row],[Campaign_Name]],Table3[Campaign_Name],Table3[End_Date]))</f>
        <v>45747</v>
      </c>
      <c r="R275" s="4" t="str">
        <f>IF(Table1__3[[#This Row],[Date]] &lt; Table1__3[[#This Row],[Start_Date]], "Before",
   IF(AND(Table1__3[[#This Row],[Date]] &gt;= Table1__3[[#This Row],[Start_Date]], Table1__3[[#This Row],[Date]] &lt;= Table1__3[[#This Row],[End_Date]]), "During",
   "After"))</f>
        <v>Before</v>
      </c>
      <c r="S275" s="31"/>
      <c r="T275" s="31"/>
    </row>
    <row r="276" spans="1:20">
      <c r="A276" s="4" t="s">
        <v>309</v>
      </c>
      <c r="B276" s="4" t="s">
        <v>13</v>
      </c>
      <c r="C276" s="92">
        <v>45341</v>
      </c>
      <c r="D276" s="4" t="s">
        <v>14</v>
      </c>
      <c r="E276" s="4" t="s">
        <v>26</v>
      </c>
      <c r="F276">
        <v>4752</v>
      </c>
      <c r="G276">
        <v>449</v>
      </c>
      <c r="H276">
        <v>309</v>
      </c>
      <c r="I276">
        <v>58530</v>
      </c>
      <c r="J276">
        <v>26630</v>
      </c>
      <c r="K276">
        <v>234</v>
      </c>
      <c r="L276" s="4" t="s">
        <v>19</v>
      </c>
      <c r="M276" s="4"/>
      <c r="N276" s="4" t="s">
        <v>20</v>
      </c>
      <c r="O276" s="33">
        <f t="shared" si="4"/>
        <v>9.4139757389372969E-2</v>
      </c>
      <c r="P276" s="92">
        <f>(_xlfn.XLOOKUP(Table1__3[[#This Row],[Campaign_Name]],Table3[Campaign_Name],Table3[Start_Date]))</f>
        <v>45717</v>
      </c>
      <c r="Q276" s="92">
        <f>(_xlfn.XLOOKUP(Table1__3[[#This Row],[Campaign_Name]],Table3[Campaign_Name],Table3[End_Date]))</f>
        <v>45747</v>
      </c>
      <c r="R276" s="4" t="str">
        <f>IF(Table1__3[[#This Row],[Date]] &lt; Table1__3[[#This Row],[Start_Date]], "Before",
   IF(AND(Table1__3[[#This Row],[Date]] &gt;= Table1__3[[#This Row],[Start_Date]], Table1__3[[#This Row],[Date]] &lt;= Table1__3[[#This Row],[End_Date]]), "During",
   "After"))</f>
        <v>Before</v>
      </c>
      <c r="S276" s="31"/>
      <c r="T276" s="31"/>
    </row>
    <row r="277" spans="1:20">
      <c r="A277" s="4" t="s">
        <v>310</v>
      </c>
      <c r="B277" s="4" t="s">
        <v>22</v>
      </c>
      <c r="C277" s="92">
        <v>45720</v>
      </c>
      <c r="D277" s="4" t="s">
        <v>14</v>
      </c>
      <c r="E277" s="4" t="s">
        <v>15</v>
      </c>
      <c r="F277">
        <v>2177</v>
      </c>
      <c r="G277">
        <v>258</v>
      </c>
      <c r="H277">
        <v>292</v>
      </c>
      <c r="I277">
        <v>47276</v>
      </c>
      <c r="J277">
        <v>51324</v>
      </c>
      <c r="K277">
        <v>143</v>
      </c>
      <c r="L277" s="4" t="s">
        <v>37</v>
      </c>
      <c r="M277" s="4"/>
      <c r="N277" s="4" t="s">
        <v>16</v>
      </c>
      <c r="O277" s="33">
        <f t="shared" si="4"/>
        <v>5.7682545054573146E-2</v>
      </c>
      <c r="P277" s="92">
        <f>(_xlfn.XLOOKUP(Table1__3[[#This Row],[Campaign_Name]],Table3[Campaign_Name],Table3[Start_Date]))</f>
        <v>45667</v>
      </c>
      <c r="Q277" s="92">
        <f>(_xlfn.XLOOKUP(Table1__3[[#This Row],[Campaign_Name]],Table3[Campaign_Name],Table3[End_Date]))</f>
        <v>45698</v>
      </c>
      <c r="R277" s="4" t="str">
        <f>IF(Table1__3[[#This Row],[Date]] &lt; Table1__3[[#This Row],[Start_Date]], "Before",
   IF(AND(Table1__3[[#This Row],[Date]] &gt;= Table1__3[[#This Row],[Start_Date]], Table1__3[[#This Row],[Date]] &lt;= Table1__3[[#This Row],[End_Date]]), "During",
   "After"))</f>
        <v>After</v>
      </c>
      <c r="S277" s="31"/>
      <c r="T277" s="31"/>
    </row>
    <row r="278" spans="1:20">
      <c r="A278" s="4" t="s">
        <v>311</v>
      </c>
      <c r="B278" s="4" t="s">
        <v>13</v>
      </c>
      <c r="C278" s="92">
        <v>45691</v>
      </c>
      <c r="D278" s="4" t="s">
        <v>23</v>
      </c>
      <c r="E278" s="4" t="s">
        <v>24</v>
      </c>
      <c r="F278">
        <v>1205</v>
      </c>
      <c r="G278">
        <v>486</v>
      </c>
      <c r="H278">
        <v>269</v>
      </c>
      <c r="I278">
        <v>23341</v>
      </c>
      <c r="J278">
        <v>42411</v>
      </c>
      <c r="K278">
        <v>184</v>
      </c>
      <c r="L278" s="4" t="s">
        <v>37</v>
      </c>
      <c r="M278" s="4"/>
      <c r="N278" s="4" t="s">
        <v>50</v>
      </c>
      <c r="O278" s="33">
        <f t="shared" si="4"/>
        <v>8.3972409065592737E-2</v>
      </c>
      <c r="P278" s="92">
        <f>(_xlfn.XLOOKUP(Table1__3[[#This Row],[Campaign_Name]],Table3[Campaign_Name],Table3[Start_Date]))</f>
        <v>45627</v>
      </c>
      <c r="Q278" s="92">
        <f>(_xlfn.XLOOKUP(Table1__3[[#This Row],[Campaign_Name]],Table3[Campaign_Name],Table3[End_Date]))</f>
        <v>45657</v>
      </c>
      <c r="R278" s="4" t="str">
        <f>IF(Table1__3[[#This Row],[Date]] &lt; Table1__3[[#This Row],[Start_Date]], "Before",
   IF(AND(Table1__3[[#This Row],[Date]] &gt;= Table1__3[[#This Row],[Start_Date]], Table1__3[[#This Row],[Date]] &lt;= Table1__3[[#This Row],[End_Date]]), "During",
   "After"))</f>
        <v>After</v>
      </c>
      <c r="S278" s="31"/>
      <c r="T278" s="31"/>
    </row>
    <row r="279" spans="1:20">
      <c r="A279" s="4" t="s">
        <v>312</v>
      </c>
      <c r="B279" s="4" t="s">
        <v>13</v>
      </c>
      <c r="C279" s="92">
        <v>45628</v>
      </c>
      <c r="D279" s="4" t="s">
        <v>14</v>
      </c>
      <c r="E279" s="4" t="s">
        <v>36</v>
      </c>
      <c r="F279">
        <v>3194</v>
      </c>
      <c r="G279">
        <v>292</v>
      </c>
      <c r="H279">
        <v>245</v>
      </c>
      <c r="I279">
        <v>56371</v>
      </c>
      <c r="J279">
        <v>65597</v>
      </c>
      <c r="K279">
        <v>163</v>
      </c>
      <c r="L279" s="4" t="s">
        <v>40</v>
      </c>
      <c r="M279" s="4" t="s">
        <v>37</v>
      </c>
      <c r="N279" s="4" t="s">
        <v>16</v>
      </c>
      <c r="O279" s="33">
        <f t="shared" si="4"/>
        <v>6.6186514342481059E-2</v>
      </c>
      <c r="P279" s="92">
        <f>(_xlfn.XLOOKUP(Table1__3[[#This Row],[Campaign_Name]],Table3[Campaign_Name],Table3[Start_Date]))</f>
        <v>45667</v>
      </c>
      <c r="Q279" s="92">
        <f>(_xlfn.XLOOKUP(Table1__3[[#This Row],[Campaign_Name]],Table3[Campaign_Name],Table3[End_Date]))</f>
        <v>45698</v>
      </c>
      <c r="R279" s="4" t="str">
        <f>IF(Table1__3[[#This Row],[Date]] &lt; Table1__3[[#This Row],[Start_Date]], "Before",
   IF(AND(Table1__3[[#This Row],[Date]] &gt;= Table1__3[[#This Row],[Start_Date]], Table1__3[[#This Row],[Date]] &lt;= Table1__3[[#This Row],[End_Date]]), "During",
   "After"))</f>
        <v>Before</v>
      </c>
      <c r="S279" s="31"/>
      <c r="T279" s="31"/>
    </row>
    <row r="280" spans="1:20">
      <c r="A280" s="4" t="s">
        <v>313</v>
      </c>
      <c r="B280" s="4" t="s">
        <v>22</v>
      </c>
      <c r="C280" s="92">
        <v>45676</v>
      </c>
      <c r="D280" s="4" t="s">
        <v>23</v>
      </c>
      <c r="E280" s="4" t="s">
        <v>24</v>
      </c>
      <c r="F280">
        <v>3507</v>
      </c>
      <c r="G280">
        <v>295</v>
      </c>
      <c r="H280">
        <v>371</v>
      </c>
      <c r="I280">
        <v>20410</v>
      </c>
      <c r="J280">
        <v>53965</v>
      </c>
      <c r="K280">
        <v>212</v>
      </c>
      <c r="L280" s="4" t="s">
        <v>40</v>
      </c>
      <c r="M280" s="4" t="s">
        <v>37</v>
      </c>
      <c r="N280" s="4" t="s">
        <v>16</v>
      </c>
      <c r="O280" s="33">
        <f t="shared" si="4"/>
        <v>0.20445859872611466</v>
      </c>
      <c r="P280" s="92">
        <f>(_xlfn.XLOOKUP(Table1__3[[#This Row],[Campaign_Name]],Table3[Campaign_Name],Table3[Start_Date]))</f>
        <v>45667</v>
      </c>
      <c r="Q280" s="92">
        <f>(_xlfn.XLOOKUP(Table1__3[[#This Row],[Campaign_Name]],Table3[Campaign_Name],Table3[End_Date]))</f>
        <v>45698</v>
      </c>
      <c r="R280" s="4" t="str">
        <f>IF(Table1__3[[#This Row],[Date]] &lt; Table1__3[[#This Row],[Start_Date]], "Before",
   IF(AND(Table1__3[[#This Row],[Date]] &gt;= Table1__3[[#This Row],[Start_Date]], Table1__3[[#This Row],[Date]] &lt;= Table1__3[[#This Row],[End_Date]]), "During",
   "After"))</f>
        <v>During</v>
      </c>
      <c r="S280" s="31"/>
      <c r="T280" s="31"/>
    </row>
    <row r="281" spans="1:20">
      <c r="A281" s="4" t="s">
        <v>314</v>
      </c>
      <c r="B281" s="4" t="s">
        <v>22</v>
      </c>
      <c r="C281" s="92">
        <v>45563</v>
      </c>
      <c r="D281" s="4" t="s">
        <v>23</v>
      </c>
      <c r="E281" s="4" t="s">
        <v>26</v>
      </c>
      <c r="F281">
        <v>4471</v>
      </c>
      <c r="G281">
        <v>317</v>
      </c>
      <c r="H281">
        <v>249</v>
      </c>
      <c r="I281">
        <v>44862</v>
      </c>
      <c r="J281">
        <v>33365</v>
      </c>
      <c r="K281">
        <v>184</v>
      </c>
      <c r="L281" s="4" t="s">
        <v>19</v>
      </c>
      <c r="M281" s="4" t="s">
        <v>363</v>
      </c>
      <c r="N281" s="4" t="s">
        <v>16</v>
      </c>
      <c r="O281" s="33">
        <f t="shared" si="4"/>
        <v>0.1122776514644911</v>
      </c>
      <c r="P281" s="92">
        <f>(_xlfn.XLOOKUP(Table1__3[[#This Row],[Campaign_Name]],Table3[Campaign_Name],Table3[Start_Date]))</f>
        <v>45667</v>
      </c>
      <c r="Q281" s="92">
        <f>(_xlfn.XLOOKUP(Table1__3[[#This Row],[Campaign_Name]],Table3[Campaign_Name],Table3[End_Date]))</f>
        <v>45698</v>
      </c>
      <c r="R281" s="4" t="str">
        <f>IF(Table1__3[[#This Row],[Date]] &lt; Table1__3[[#This Row],[Start_Date]], "Before",
   IF(AND(Table1__3[[#This Row],[Date]] &gt;= Table1__3[[#This Row],[Start_Date]], Table1__3[[#This Row],[Date]] &lt;= Table1__3[[#This Row],[End_Date]]), "During",
   "After"))</f>
        <v>Before</v>
      </c>
      <c r="S281" s="31"/>
      <c r="T281" s="31"/>
    </row>
    <row r="282" spans="1:20">
      <c r="A282" s="4" t="s">
        <v>315</v>
      </c>
      <c r="B282" s="4" t="s">
        <v>13</v>
      </c>
      <c r="C282" s="92">
        <v>45298</v>
      </c>
      <c r="D282" s="4" t="s">
        <v>14</v>
      </c>
      <c r="E282" s="4" t="s">
        <v>36</v>
      </c>
      <c r="F282">
        <v>4931</v>
      </c>
      <c r="G282">
        <v>469</v>
      </c>
      <c r="H282">
        <v>193</v>
      </c>
      <c r="I282">
        <v>56701</v>
      </c>
      <c r="J282">
        <v>69437</v>
      </c>
      <c r="K282">
        <v>291</v>
      </c>
      <c r="L282" s="4" t="s">
        <v>40</v>
      </c>
      <c r="M282" s="4" t="s">
        <v>37</v>
      </c>
      <c r="N282" s="4" t="s">
        <v>16</v>
      </c>
      <c r="O282" s="33">
        <f t="shared" si="4"/>
        <v>9.8640235621946709E-2</v>
      </c>
      <c r="P282" s="92">
        <f>(_xlfn.XLOOKUP(Table1__3[[#This Row],[Campaign_Name]],Table3[Campaign_Name],Table3[Start_Date]))</f>
        <v>45667</v>
      </c>
      <c r="Q282" s="92">
        <f>(_xlfn.XLOOKUP(Table1__3[[#This Row],[Campaign_Name]],Table3[Campaign_Name],Table3[End_Date]))</f>
        <v>45698</v>
      </c>
      <c r="R282" s="4" t="str">
        <f>IF(Table1__3[[#This Row],[Date]] &lt; Table1__3[[#This Row],[Start_Date]], "Before",
   IF(AND(Table1__3[[#This Row],[Date]] &gt;= Table1__3[[#This Row],[Start_Date]], Table1__3[[#This Row],[Date]] &lt;= Table1__3[[#This Row],[End_Date]]), "During",
   "After"))</f>
        <v>Before</v>
      </c>
      <c r="S282" s="31"/>
      <c r="T282" s="31"/>
    </row>
    <row r="283" spans="1:20">
      <c r="A283" s="4" t="s">
        <v>316</v>
      </c>
      <c r="B283" s="4" t="s">
        <v>22</v>
      </c>
      <c r="C283" s="92">
        <v>45343</v>
      </c>
      <c r="D283" s="4" t="s">
        <v>23</v>
      </c>
      <c r="E283" s="4" t="s">
        <v>33</v>
      </c>
      <c r="F283">
        <v>2604</v>
      </c>
      <c r="G283">
        <v>439</v>
      </c>
      <c r="H283">
        <v>148</v>
      </c>
      <c r="I283">
        <v>58468</v>
      </c>
      <c r="J283">
        <v>39629</v>
      </c>
      <c r="K283">
        <v>163</v>
      </c>
      <c r="L283" s="4" t="s">
        <v>363</v>
      </c>
      <c r="M283" s="4" t="s">
        <v>37</v>
      </c>
      <c r="N283" s="4" t="s">
        <v>16</v>
      </c>
      <c r="O283" s="33">
        <f t="shared" si="4"/>
        <v>5.4576862557296296E-2</v>
      </c>
      <c r="P283" s="92">
        <f>(_xlfn.XLOOKUP(Table1__3[[#This Row],[Campaign_Name]],Table3[Campaign_Name],Table3[Start_Date]))</f>
        <v>45667</v>
      </c>
      <c r="Q283" s="92">
        <f>(_xlfn.XLOOKUP(Table1__3[[#This Row],[Campaign_Name]],Table3[Campaign_Name],Table3[End_Date]))</f>
        <v>45698</v>
      </c>
      <c r="R283" s="4" t="str">
        <f>IF(Table1__3[[#This Row],[Date]] &lt; Table1__3[[#This Row],[Start_Date]], "Before",
   IF(AND(Table1__3[[#This Row],[Date]] &gt;= Table1__3[[#This Row],[Start_Date]], Table1__3[[#This Row],[Date]] &lt;= Table1__3[[#This Row],[End_Date]]), "During",
   "After"))</f>
        <v>Before</v>
      </c>
      <c r="S283" s="31"/>
      <c r="T283" s="31"/>
    </row>
    <row r="284" spans="1:20">
      <c r="A284" s="4" t="s">
        <v>317</v>
      </c>
      <c r="B284" s="4" t="s">
        <v>13</v>
      </c>
      <c r="C284" s="92">
        <v>45531</v>
      </c>
      <c r="D284" s="4" t="s">
        <v>14</v>
      </c>
      <c r="E284" s="4" t="s">
        <v>29</v>
      </c>
      <c r="F284">
        <v>4197</v>
      </c>
      <c r="G284">
        <v>359</v>
      </c>
      <c r="H284">
        <v>280</v>
      </c>
      <c r="I284">
        <v>56048</v>
      </c>
      <c r="J284">
        <v>70930</v>
      </c>
      <c r="K284">
        <v>295</v>
      </c>
      <c r="L284" s="4" t="s">
        <v>19</v>
      </c>
      <c r="M284" s="4"/>
      <c r="N284" s="4" t="s">
        <v>20</v>
      </c>
      <c r="O284" s="33">
        <f t="shared" si="4"/>
        <v>8.628318584070796E-2</v>
      </c>
      <c r="P284" s="92">
        <f>(_xlfn.XLOOKUP(Table1__3[[#This Row],[Campaign_Name]],Table3[Campaign_Name],Table3[Start_Date]))</f>
        <v>45717</v>
      </c>
      <c r="Q284" s="92">
        <f>(_xlfn.XLOOKUP(Table1__3[[#This Row],[Campaign_Name]],Table3[Campaign_Name],Table3[End_Date]))</f>
        <v>45747</v>
      </c>
      <c r="R284" s="4" t="str">
        <f>IF(Table1__3[[#This Row],[Date]] &lt; Table1__3[[#This Row],[Start_Date]], "Before",
   IF(AND(Table1__3[[#This Row],[Date]] &gt;= Table1__3[[#This Row],[Start_Date]], Table1__3[[#This Row],[Date]] &lt;= Table1__3[[#This Row],[End_Date]]), "During",
   "After"))</f>
        <v>Before</v>
      </c>
      <c r="S284" s="31"/>
      <c r="T284" s="31"/>
    </row>
    <row r="285" spans="1:20">
      <c r="A285" s="4" t="s">
        <v>318</v>
      </c>
      <c r="B285" s="4" t="s">
        <v>13</v>
      </c>
      <c r="C285" s="92">
        <v>45589</v>
      </c>
      <c r="D285" s="4" t="s">
        <v>23</v>
      </c>
      <c r="E285" s="4" t="s">
        <v>36</v>
      </c>
      <c r="F285">
        <v>1914</v>
      </c>
      <c r="G285">
        <v>255</v>
      </c>
      <c r="H285">
        <v>156</v>
      </c>
      <c r="I285">
        <v>27660</v>
      </c>
      <c r="J285">
        <v>47776</v>
      </c>
      <c r="K285">
        <v>111</v>
      </c>
      <c r="L285" s="4" t="s">
        <v>37</v>
      </c>
      <c r="M285" s="4"/>
      <c r="N285" s="4" t="s">
        <v>50</v>
      </c>
      <c r="O285" s="33">
        <f t="shared" si="4"/>
        <v>8.4056399132321047E-2</v>
      </c>
      <c r="P285" s="92">
        <f>(_xlfn.XLOOKUP(Table1__3[[#This Row],[Campaign_Name]],Table3[Campaign_Name],Table3[Start_Date]))</f>
        <v>45627</v>
      </c>
      <c r="Q285" s="92">
        <f>(_xlfn.XLOOKUP(Table1__3[[#This Row],[Campaign_Name]],Table3[Campaign_Name],Table3[End_Date]))</f>
        <v>45657</v>
      </c>
      <c r="R285" s="4" t="str">
        <f>IF(Table1__3[[#This Row],[Date]] &lt; Table1__3[[#This Row],[Start_Date]], "Before",
   IF(AND(Table1__3[[#This Row],[Date]] &gt;= Table1__3[[#This Row],[Start_Date]], Table1__3[[#This Row],[Date]] &lt;= Table1__3[[#This Row],[End_Date]]), "During",
   "After"))</f>
        <v>Before</v>
      </c>
      <c r="S285" s="31"/>
      <c r="T285" s="31"/>
    </row>
    <row r="286" spans="1:20">
      <c r="A286" s="4" t="s">
        <v>319</v>
      </c>
      <c r="B286" s="4" t="s">
        <v>28</v>
      </c>
      <c r="C286" s="92">
        <v>45686</v>
      </c>
      <c r="D286" s="4" t="s">
        <v>14</v>
      </c>
      <c r="E286" s="4" t="s">
        <v>24</v>
      </c>
      <c r="F286">
        <v>1334</v>
      </c>
      <c r="G286">
        <v>357</v>
      </c>
      <c r="H286">
        <v>257</v>
      </c>
      <c r="I286">
        <v>56910</v>
      </c>
      <c r="J286">
        <v>70606</v>
      </c>
      <c r="K286">
        <v>228</v>
      </c>
      <c r="L286" s="4" t="s">
        <v>19</v>
      </c>
      <c r="M286" s="4" t="s">
        <v>364</v>
      </c>
      <c r="N286" s="4" t="s">
        <v>20</v>
      </c>
      <c r="O286" s="33">
        <f t="shared" si="4"/>
        <v>3.4229485151994379E-2</v>
      </c>
      <c r="P286" s="92">
        <f>(_xlfn.XLOOKUP(Table1__3[[#This Row],[Campaign_Name]],Table3[Campaign_Name],Table3[Start_Date]))</f>
        <v>45717</v>
      </c>
      <c r="Q286" s="92">
        <f>(_xlfn.XLOOKUP(Table1__3[[#This Row],[Campaign_Name]],Table3[Campaign_Name],Table3[End_Date]))</f>
        <v>45747</v>
      </c>
      <c r="R286" s="4" t="str">
        <f>IF(Table1__3[[#This Row],[Date]] &lt; Table1__3[[#This Row],[Start_Date]], "Before",
   IF(AND(Table1__3[[#This Row],[Date]] &gt;= Table1__3[[#This Row],[Start_Date]], Table1__3[[#This Row],[Date]] &lt;= Table1__3[[#This Row],[End_Date]]), "During",
   "After"))</f>
        <v>Before</v>
      </c>
      <c r="S286" s="31"/>
      <c r="T286" s="31"/>
    </row>
    <row r="287" spans="1:20">
      <c r="A287" s="4" t="s">
        <v>320</v>
      </c>
      <c r="B287" s="4" t="s">
        <v>13</v>
      </c>
      <c r="C287" s="92">
        <v>45413</v>
      </c>
      <c r="D287" s="4" t="s">
        <v>14</v>
      </c>
      <c r="E287" s="4" t="s">
        <v>33</v>
      </c>
      <c r="F287">
        <v>3359</v>
      </c>
      <c r="G287">
        <v>137</v>
      </c>
      <c r="H287">
        <v>387</v>
      </c>
      <c r="I287">
        <v>33861</v>
      </c>
      <c r="J287">
        <v>47257</v>
      </c>
      <c r="K287">
        <v>198</v>
      </c>
      <c r="L287" s="4" t="s">
        <v>19</v>
      </c>
      <c r="M287" s="4"/>
      <c r="N287" s="4" t="s">
        <v>20</v>
      </c>
      <c r="O287" s="33">
        <f t="shared" si="4"/>
        <v>0.11467469950680724</v>
      </c>
      <c r="P287" s="92">
        <f>(_xlfn.XLOOKUP(Table1__3[[#This Row],[Campaign_Name]],Table3[Campaign_Name],Table3[Start_Date]))</f>
        <v>45717</v>
      </c>
      <c r="Q287" s="92">
        <f>(_xlfn.XLOOKUP(Table1__3[[#This Row],[Campaign_Name]],Table3[Campaign_Name],Table3[End_Date]))</f>
        <v>45747</v>
      </c>
      <c r="R287" s="4" t="str">
        <f>IF(Table1__3[[#This Row],[Date]] &lt; Table1__3[[#This Row],[Start_Date]], "Before",
   IF(AND(Table1__3[[#This Row],[Date]] &gt;= Table1__3[[#This Row],[Start_Date]], Table1__3[[#This Row],[Date]] &lt;= Table1__3[[#This Row],[End_Date]]), "During",
   "After"))</f>
        <v>Before</v>
      </c>
      <c r="S287" s="31"/>
      <c r="T287" s="31"/>
    </row>
    <row r="288" spans="1:20">
      <c r="A288" s="4" t="s">
        <v>321</v>
      </c>
      <c r="B288" s="4" t="s">
        <v>28</v>
      </c>
      <c r="C288" s="92">
        <v>45468</v>
      </c>
      <c r="D288" s="4" t="s">
        <v>14</v>
      </c>
      <c r="E288" s="4" t="s">
        <v>46</v>
      </c>
      <c r="F288">
        <v>2172</v>
      </c>
      <c r="G288">
        <v>338</v>
      </c>
      <c r="H288">
        <v>70</v>
      </c>
      <c r="I288">
        <v>30515</v>
      </c>
      <c r="J288">
        <v>57853</v>
      </c>
      <c r="K288">
        <v>156</v>
      </c>
      <c r="L288" s="4" t="s">
        <v>19</v>
      </c>
      <c r="M288" s="4" t="s">
        <v>364</v>
      </c>
      <c r="N288" s="4" t="s">
        <v>20</v>
      </c>
      <c r="O288" s="33">
        <f t="shared" si="4"/>
        <v>8.4548582664263475E-2</v>
      </c>
      <c r="P288" s="92">
        <f>(_xlfn.XLOOKUP(Table1__3[[#This Row],[Campaign_Name]],Table3[Campaign_Name],Table3[Start_Date]))</f>
        <v>45717</v>
      </c>
      <c r="Q288" s="92">
        <f>(_xlfn.XLOOKUP(Table1__3[[#This Row],[Campaign_Name]],Table3[Campaign_Name],Table3[End_Date]))</f>
        <v>45747</v>
      </c>
      <c r="R288" s="4" t="str">
        <f>IF(Table1__3[[#This Row],[Date]] &lt; Table1__3[[#This Row],[Start_Date]], "Before",
   IF(AND(Table1__3[[#This Row],[Date]] &gt;= Table1__3[[#This Row],[Start_Date]], Table1__3[[#This Row],[Date]] &lt;= Table1__3[[#This Row],[End_Date]]), "During",
   "After"))</f>
        <v>Before</v>
      </c>
      <c r="S288" s="31"/>
      <c r="T288" s="31"/>
    </row>
    <row r="289" spans="1:20">
      <c r="A289" s="4" t="s">
        <v>322</v>
      </c>
      <c r="B289" s="4" t="s">
        <v>22</v>
      </c>
      <c r="C289" s="92">
        <v>45513</v>
      </c>
      <c r="D289" s="4" t="s">
        <v>23</v>
      </c>
      <c r="E289" s="4" t="s">
        <v>44</v>
      </c>
      <c r="F289">
        <v>4877</v>
      </c>
      <c r="G289">
        <v>442</v>
      </c>
      <c r="H289">
        <v>236</v>
      </c>
      <c r="I289">
        <v>52673</v>
      </c>
      <c r="J289">
        <v>48241</v>
      </c>
      <c r="K289">
        <v>114</v>
      </c>
      <c r="L289" s="4" t="s">
        <v>19</v>
      </c>
      <c r="M289" s="4" t="s">
        <v>363</v>
      </c>
      <c r="N289" s="4" t="s">
        <v>16</v>
      </c>
      <c r="O289" s="33">
        <f t="shared" si="4"/>
        <v>0.10546200140489435</v>
      </c>
      <c r="P289" s="92">
        <f>(_xlfn.XLOOKUP(Table1__3[[#This Row],[Campaign_Name]],Table3[Campaign_Name],Table3[Start_Date]))</f>
        <v>45667</v>
      </c>
      <c r="Q289" s="92">
        <f>(_xlfn.XLOOKUP(Table1__3[[#This Row],[Campaign_Name]],Table3[Campaign_Name],Table3[End_Date]))</f>
        <v>45698</v>
      </c>
      <c r="R289" s="4" t="str">
        <f>IF(Table1__3[[#This Row],[Date]] &lt; Table1__3[[#This Row],[Start_Date]], "Before",
   IF(AND(Table1__3[[#This Row],[Date]] &gt;= Table1__3[[#This Row],[Start_Date]], Table1__3[[#This Row],[Date]] &lt;= Table1__3[[#This Row],[End_Date]]), "During",
   "After"))</f>
        <v>Before</v>
      </c>
      <c r="S289" s="31"/>
      <c r="T289" s="31"/>
    </row>
    <row r="290" spans="1:20">
      <c r="A290" s="4" t="s">
        <v>323</v>
      </c>
      <c r="B290" s="4" t="s">
        <v>13</v>
      </c>
      <c r="C290" s="92">
        <v>45678</v>
      </c>
      <c r="D290" s="4" t="s">
        <v>23</v>
      </c>
      <c r="E290" s="4" t="s">
        <v>24</v>
      </c>
      <c r="F290">
        <v>4918</v>
      </c>
      <c r="G290">
        <v>440</v>
      </c>
      <c r="H290">
        <v>149</v>
      </c>
      <c r="I290">
        <v>53269</v>
      </c>
      <c r="J290">
        <v>64370</v>
      </c>
      <c r="K290">
        <v>269</v>
      </c>
      <c r="L290" s="4" t="s">
        <v>37</v>
      </c>
      <c r="M290" s="4"/>
      <c r="N290" s="4" t="s">
        <v>50</v>
      </c>
      <c r="O290" s="33">
        <f t="shared" si="4"/>
        <v>0.10338095327488783</v>
      </c>
      <c r="P290" s="92">
        <f>(_xlfn.XLOOKUP(Table1__3[[#This Row],[Campaign_Name]],Table3[Campaign_Name],Table3[Start_Date]))</f>
        <v>45627</v>
      </c>
      <c r="Q290" s="92">
        <f>(_xlfn.XLOOKUP(Table1__3[[#This Row],[Campaign_Name]],Table3[Campaign_Name],Table3[End_Date]))</f>
        <v>45657</v>
      </c>
      <c r="R290" s="4" t="str">
        <f>IF(Table1__3[[#This Row],[Date]] &lt; Table1__3[[#This Row],[Start_Date]], "Before",
   IF(AND(Table1__3[[#This Row],[Date]] &gt;= Table1__3[[#This Row],[Start_Date]], Table1__3[[#This Row],[Date]] &lt;= Table1__3[[#This Row],[End_Date]]), "During",
   "After"))</f>
        <v>After</v>
      </c>
      <c r="S290" s="31"/>
      <c r="T290" s="31"/>
    </row>
    <row r="291" spans="1:20">
      <c r="A291" s="4" t="s">
        <v>324</v>
      </c>
      <c r="B291" s="4" t="s">
        <v>22</v>
      </c>
      <c r="C291" s="92">
        <v>45517</v>
      </c>
      <c r="D291" s="4" t="s">
        <v>14</v>
      </c>
      <c r="E291" s="4" t="s">
        <v>18</v>
      </c>
      <c r="F291">
        <v>3418</v>
      </c>
      <c r="G291">
        <v>107</v>
      </c>
      <c r="H291">
        <v>221</v>
      </c>
      <c r="I291">
        <v>23927</v>
      </c>
      <c r="J291">
        <v>26182</v>
      </c>
      <c r="K291">
        <v>155</v>
      </c>
      <c r="L291" s="4" t="s">
        <v>40</v>
      </c>
      <c r="M291" s="4"/>
      <c r="N291" s="4" t="s">
        <v>20</v>
      </c>
      <c r="O291" s="33">
        <f t="shared" si="4"/>
        <v>0.1565595352530614</v>
      </c>
      <c r="P291" s="92">
        <f>(_xlfn.XLOOKUP(Table1__3[[#This Row],[Campaign_Name]],Table3[Campaign_Name],Table3[Start_Date]))</f>
        <v>45717</v>
      </c>
      <c r="Q291" s="92">
        <f>(_xlfn.XLOOKUP(Table1__3[[#This Row],[Campaign_Name]],Table3[Campaign_Name],Table3[End_Date]))</f>
        <v>45747</v>
      </c>
      <c r="R291" s="4" t="str">
        <f>IF(Table1__3[[#This Row],[Date]] &lt; Table1__3[[#This Row],[Start_Date]], "Before",
   IF(AND(Table1__3[[#This Row],[Date]] &gt;= Table1__3[[#This Row],[Start_Date]], Table1__3[[#This Row],[Date]] &lt;= Table1__3[[#This Row],[End_Date]]), "During",
   "After"))</f>
        <v>Before</v>
      </c>
      <c r="S291" s="31"/>
      <c r="T291" s="31"/>
    </row>
    <row r="292" spans="1:20">
      <c r="A292" s="4" t="s">
        <v>325</v>
      </c>
      <c r="B292" s="4" t="s">
        <v>13</v>
      </c>
      <c r="C292" s="92">
        <v>45472</v>
      </c>
      <c r="D292" s="4" t="s">
        <v>14</v>
      </c>
      <c r="E292" s="4" t="s">
        <v>46</v>
      </c>
      <c r="F292">
        <v>2088</v>
      </c>
      <c r="G292">
        <v>490</v>
      </c>
      <c r="H292">
        <v>124</v>
      </c>
      <c r="I292">
        <v>46544</v>
      </c>
      <c r="J292">
        <v>69346</v>
      </c>
      <c r="K292">
        <v>178</v>
      </c>
      <c r="L292" s="4" t="s">
        <v>40</v>
      </c>
      <c r="M292" s="4" t="s">
        <v>37</v>
      </c>
      <c r="N292" s="4" t="s">
        <v>16</v>
      </c>
      <c r="O292" s="33">
        <f t="shared" si="4"/>
        <v>5.8052595393606049E-2</v>
      </c>
      <c r="P292" s="92">
        <f>(_xlfn.XLOOKUP(Table1__3[[#This Row],[Campaign_Name]],Table3[Campaign_Name],Table3[Start_Date]))</f>
        <v>45667</v>
      </c>
      <c r="Q292" s="92">
        <f>(_xlfn.XLOOKUP(Table1__3[[#This Row],[Campaign_Name]],Table3[Campaign_Name],Table3[End_Date]))</f>
        <v>45698</v>
      </c>
      <c r="R292" s="4" t="str">
        <f>IF(Table1__3[[#This Row],[Date]] &lt; Table1__3[[#This Row],[Start_Date]], "Before",
   IF(AND(Table1__3[[#This Row],[Date]] &gt;= Table1__3[[#This Row],[Start_Date]], Table1__3[[#This Row],[Date]] &lt;= Table1__3[[#This Row],[End_Date]]), "During",
   "After"))</f>
        <v>Before</v>
      </c>
      <c r="S292" s="31"/>
      <c r="T292" s="31"/>
    </row>
    <row r="293" spans="1:20">
      <c r="A293" s="4" t="s">
        <v>326</v>
      </c>
      <c r="B293" s="4" t="s">
        <v>22</v>
      </c>
      <c r="C293" s="92">
        <v>45599</v>
      </c>
      <c r="D293" s="4" t="s">
        <v>23</v>
      </c>
      <c r="E293" s="4" t="s">
        <v>18</v>
      </c>
      <c r="F293">
        <v>3061</v>
      </c>
      <c r="G293">
        <v>320</v>
      </c>
      <c r="H293">
        <v>76</v>
      </c>
      <c r="I293">
        <v>26640</v>
      </c>
      <c r="J293">
        <v>24306</v>
      </c>
      <c r="K293">
        <v>112</v>
      </c>
      <c r="L293" s="4" t="s">
        <v>363</v>
      </c>
      <c r="M293" s="4" t="s">
        <v>37</v>
      </c>
      <c r="N293" s="4" t="s">
        <v>16</v>
      </c>
      <c r="O293" s="33">
        <f t="shared" si="4"/>
        <v>0.12976726726726726</v>
      </c>
      <c r="P293" s="92">
        <f>(_xlfn.XLOOKUP(Table1__3[[#This Row],[Campaign_Name]],Table3[Campaign_Name],Table3[Start_Date]))</f>
        <v>45667</v>
      </c>
      <c r="Q293" s="92">
        <f>(_xlfn.XLOOKUP(Table1__3[[#This Row],[Campaign_Name]],Table3[Campaign_Name],Table3[End_Date]))</f>
        <v>45698</v>
      </c>
      <c r="R293" s="4" t="str">
        <f>IF(Table1__3[[#This Row],[Date]] &lt; Table1__3[[#This Row],[Start_Date]], "Before",
   IF(AND(Table1__3[[#This Row],[Date]] &gt;= Table1__3[[#This Row],[Start_Date]], Table1__3[[#This Row],[Date]] &lt;= Table1__3[[#This Row],[End_Date]]), "During",
   "After"))</f>
        <v>Before</v>
      </c>
      <c r="S293" s="31"/>
      <c r="T293" s="31"/>
    </row>
    <row r="294" spans="1:20">
      <c r="A294" s="4" t="s">
        <v>327</v>
      </c>
      <c r="B294" s="4" t="s">
        <v>28</v>
      </c>
      <c r="C294" s="92">
        <v>45765</v>
      </c>
      <c r="D294" s="4" t="s">
        <v>52</v>
      </c>
      <c r="E294" s="4" t="s">
        <v>46</v>
      </c>
      <c r="F294">
        <v>1265</v>
      </c>
      <c r="G294">
        <v>230</v>
      </c>
      <c r="H294">
        <v>364</v>
      </c>
      <c r="I294">
        <v>41312</v>
      </c>
      <c r="J294">
        <v>50382</v>
      </c>
      <c r="K294">
        <v>106</v>
      </c>
      <c r="L294" s="4" t="s">
        <v>19</v>
      </c>
      <c r="M294" s="4" t="s">
        <v>40</v>
      </c>
      <c r="N294" s="4" t="s">
        <v>53</v>
      </c>
      <c r="O294" s="33">
        <f t="shared" si="4"/>
        <v>4.4999031758326875E-2</v>
      </c>
      <c r="P294" s="92">
        <f>(_xlfn.XLOOKUP(Table1__3[[#This Row],[Campaign_Name]],Table3[Campaign_Name],Table3[Start_Date]))</f>
        <v>45458</v>
      </c>
      <c r="Q294" s="92">
        <f>(_xlfn.XLOOKUP(Table1__3[[#This Row],[Campaign_Name]],Table3[Campaign_Name],Table3[End_Date]))</f>
        <v>45488</v>
      </c>
      <c r="R294" s="4" t="str">
        <f>IF(Table1__3[[#This Row],[Date]] &lt; Table1__3[[#This Row],[Start_Date]], "Before",
   IF(AND(Table1__3[[#This Row],[Date]] &gt;= Table1__3[[#This Row],[Start_Date]], Table1__3[[#This Row],[Date]] &lt;= Table1__3[[#This Row],[End_Date]]), "During",
   "After"))</f>
        <v>After</v>
      </c>
      <c r="S294" s="31"/>
      <c r="T294" s="31"/>
    </row>
    <row r="295" spans="1:20">
      <c r="A295" s="4" t="s">
        <v>328</v>
      </c>
      <c r="B295" s="4" t="s">
        <v>13</v>
      </c>
      <c r="C295" s="92">
        <v>45653</v>
      </c>
      <c r="D295" s="4" t="s">
        <v>14</v>
      </c>
      <c r="E295" s="4" t="s">
        <v>44</v>
      </c>
      <c r="F295">
        <v>1436</v>
      </c>
      <c r="G295">
        <v>219</v>
      </c>
      <c r="H295">
        <v>229</v>
      </c>
      <c r="I295">
        <v>58488</v>
      </c>
      <c r="J295">
        <v>24314</v>
      </c>
      <c r="K295">
        <v>147</v>
      </c>
      <c r="L295" s="4" t="s">
        <v>19</v>
      </c>
      <c r="M295" s="4"/>
      <c r="N295" s="4" t="s">
        <v>20</v>
      </c>
      <c r="O295" s="33">
        <f t="shared" si="4"/>
        <v>3.221173574066475E-2</v>
      </c>
      <c r="P295" s="92">
        <f>(_xlfn.XLOOKUP(Table1__3[[#This Row],[Campaign_Name]],Table3[Campaign_Name],Table3[Start_Date]))</f>
        <v>45717</v>
      </c>
      <c r="Q295" s="92">
        <f>(_xlfn.XLOOKUP(Table1__3[[#This Row],[Campaign_Name]],Table3[Campaign_Name],Table3[End_Date]))</f>
        <v>45747</v>
      </c>
      <c r="R295" s="4" t="str">
        <f>IF(Table1__3[[#This Row],[Date]] &lt; Table1__3[[#This Row],[Start_Date]], "Before",
   IF(AND(Table1__3[[#This Row],[Date]] &gt;= Table1__3[[#This Row],[Start_Date]], Table1__3[[#This Row],[Date]] &lt;= Table1__3[[#This Row],[End_Date]]), "During",
   "After"))</f>
        <v>Before</v>
      </c>
      <c r="S295" s="31"/>
      <c r="T295" s="31"/>
    </row>
    <row r="296" spans="1:20">
      <c r="A296" s="4" t="s">
        <v>329</v>
      </c>
      <c r="B296" s="4" t="s">
        <v>13</v>
      </c>
      <c r="C296" s="92">
        <v>45724</v>
      </c>
      <c r="D296" s="4" t="s">
        <v>23</v>
      </c>
      <c r="E296" s="4" t="s">
        <v>36</v>
      </c>
      <c r="F296">
        <v>2244</v>
      </c>
      <c r="G296">
        <v>392</v>
      </c>
      <c r="H296">
        <v>231</v>
      </c>
      <c r="I296">
        <v>25834</v>
      </c>
      <c r="J296">
        <v>50906</v>
      </c>
      <c r="K296">
        <v>165</v>
      </c>
      <c r="L296" s="4" t="s">
        <v>37</v>
      </c>
      <c r="M296" s="4"/>
      <c r="N296" s="4" t="s">
        <v>50</v>
      </c>
      <c r="O296" s="33">
        <f t="shared" si="4"/>
        <v>0.1109777812185492</v>
      </c>
      <c r="P296" s="92">
        <f>(_xlfn.XLOOKUP(Table1__3[[#This Row],[Campaign_Name]],Table3[Campaign_Name],Table3[Start_Date]))</f>
        <v>45627</v>
      </c>
      <c r="Q296" s="92">
        <f>(_xlfn.XLOOKUP(Table1__3[[#This Row],[Campaign_Name]],Table3[Campaign_Name],Table3[End_Date]))</f>
        <v>45657</v>
      </c>
      <c r="R296" s="4" t="str">
        <f>IF(Table1__3[[#This Row],[Date]] &lt; Table1__3[[#This Row],[Start_Date]], "Before",
   IF(AND(Table1__3[[#This Row],[Date]] &gt;= Table1__3[[#This Row],[Start_Date]], Table1__3[[#This Row],[Date]] &lt;= Table1__3[[#This Row],[End_Date]]), "During",
   "After"))</f>
        <v>After</v>
      </c>
      <c r="S296" s="31"/>
      <c r="T296" s="31"/>
    </row>
    <row r="297" spans="1:20">
      <c r="A297" s="4" t="s">
        <v>330</v>
      </c>
      <c r="B297" s="4" t="s">
        <v>22</v>
      </c>
      <c r="C297" s="92">
        <v>45736</v>
      </c>
      <c r="D297" s="4" t="s">
        <v>23</v>
      </c>
      <c r="E297" s="4" t="s">
        <v>46</v>
      </c>
      <c r="F297">
        <v>3393</v>
      </c>
      <c r="G297">
        <v>104</v>
      </c>
      <c r="H297">
        <v>79</v>
      </c>
      <c r="I297">
        <v>30025</v>
      </c>
      <c r="J297">
        <v>21593</v>
      </c>
      <c r="K297">
        <v>165</v>
      </c>
      <c r="L297" s="4" t="s">
        <v>363</v>
      </c>
      <c r="M297" s="4" t="s">
        <v>37</v>
      </c>
      <c r="N297" s="4" t="s">
        <v>16</v>
      </c>
      <c r="O297" s="33">
        <f t="shared" si="4"/>
        <v>0.1191007493755204</v>
      </c>
      <c r="P297" s="92">
        <f>(_xlfn.XLOOKUP(Table1__3[[#This Row],[Campaign_Name]],Table3[Campaign_Name],Table3[Start_Date]))</f>
        <v>45667</v>
      </c>
      <c r="Q297" s="92">
        <f>(_xlfn.XLOOKUP(Table1__3[[#This Row],[Campaign_Name]],Table3[Campaign_Name],Table3[End_Date]))</f>
        <v>45698</v>
      </c>
      <c r="R297" s="4" t="str">
        <f>IF(Table1__3[[#This Row],[Date]] &lt; Table1__3[[#This Row],[Start_Date]], "Before",
   IF(AND(Table1__3[[#This Row],[Date]] &gt;= Table1__3[[#This Row],[Start_Date]], Table1__3[[#This Row],[Date]] &lt;= Table1__3[[#This Row],[End_Date]]), "During",
   "After"))</f>
        <v>After</v>
      </c>
      <c r="S297" s="31"/>
      <c r="T297" s="31"/>
    </row>
    <row r="298" spans="1:20">
      <c r="A298" s="4" t="s">
        <v>331</v>
      </c>
      <c r="B298" s="4" t="s">
        <v>22</v>
      </c>
      <c r="C298" s="92">
        <v>45612</v>
      </c>
      <c r="D298" s="4" t="s">
        <v>14</v>
      </c>
      <c r="E298" s="4" t="s">
        <v>18</v>
      </c>
      <c r="F298">
        <v>2901</v>
      </c>
      <c r="G298">
        <v>108</v>
      </c>
      <c r="H298">
        <v>86</v>
      </c>
      <c r="I298">
        <v>51777</v>
      </c>
      <c r="J298">
        <v>23773</v>
      </c>
      <c r="K298">
        <v>160</v>
      </c>
      <c r="L298" s="4" t="s">
        <v>40</v>
      </c>
      <c r="M298" s="4"/>
      <c r="N298" s="4" t="s">
        <v>20</v>
      </c>
      <c r="O298" s="33">
        <f t="shared" si="4"/>
        <v>5.9775576027966085E-2</v>
      </c>
      <c r="P298" s="92">
        <f>(_xlfn.XLOOKUP(Table1__3[[#This Row],[Campaign_Name]],Table3[Campaign_Name],Table3[Start_Date]))</f>
        <v>45717</v>
      </c>
      <c r="Q298" s="92">
        <f>(_xlfn.XLOOKUP(Table1__3[[#This Row],[Campaign_Name]],Table3[Campaign_Name],Table3[End_Date]))</f>
        <v>45747</v>
      </c>
      <c r="R298" s="4" t="str">
        <f>IF(Table1__3[[#This Row],[Date]] &lt; Table1__3[[#This Row],[Start_Date]], "Before",
   IF(AND(Table1__3[[#This Row],[Date]] &gt;= Table1__3[[#This Row],[Start_Date]], Table1__3[[#This Row],[Date]] &lt;= Table1__3[[#This Row],[End_Date]]), "During",
   "After"))</f>
        <v>Before</v>
      </c>
      <c r="S298" s="31"/>
      <c r="T298" s="31"/>
    </row>
    <row r="299" spans="1:20">
      <c r="A299" s="4" t="s">
        <v>332</v>
      </c>
      <c r="B299" s="4" t="s">
        <v>22</v>
      </c>
      <c r="C299" s="92">
        <v>45838</v>
      </c>
      <c r="D299" s="4" t="s">
        <v>14</v>
      </c>
      <c r="E299" s="4" t="s">
        <v>31</v>
      </c>
      <c r="F299">
        <v>2275</v>
      </c>
      <c r="G299">
        <v>285</v>
      </c>
      <c r="H299">
        <v>125</v>
      </c>
      <c r="I299">
        <v>43970</v>
      </c>
      <c r="J299">
        <v>74761</v>
      </c>
      <c r="K299">
        <v>83</v>
      </c>
      <c r="L299" s="4" t="s">
        <v>37</v>
      </c>
      <c r="M299" s="4"/>
      <c r="N299" s="4" t="s">
        <v>16</v>
      </c>
      <c r="O299" s="33">
        <f t="shared" si="4"/>
        <v>6.1064362065044349E-2</v>
      </c>
      <c r="P299" s="92">
        <f>(_xlfn.XLOOKUP(Table1__3[[#This Row],[Campaign_Name]],Table3[Campaign_Name],Table3[Start_Date]))</f>
        <v>45667</v>
      </c>
      <c r="Q299" s="92">
        <f>(_xlfn.XLOOKUP(Table1__3[[#This Row],[Campaign_Name]],Table3[Campaign_Name],Table3[End_Date]))</f>
        <v>45698</v>
      </c>
      <c r="R299" s="4" t="str">
        <f>IF(Table1__3[[#This Row],[Date]] &lt; Table1__3[[#This Row],[Start_Date]], "Before",
   IF(AND(Table1__3[[#This Row],[Date]] &gt;= Table1__3[[#This Row],[Start_Date]], Table1__3[[#This Row],[Date]] &lt;= Table1__3[[#This Row],[End_Date]]), "During",
   "After"))</f>
        <v>After</v>
      </c>
      <c r="S299" s="31"/>
      <c r="T299" s="31"/>
    </row>
    <row r="300" spans="1:20">
      <c r="A300" s="4" t="s">
        <v>333</v>
      </c>
      <c r="B300" s="4" t="s">
        <v>22</v>
      </c>
      <c r="C300" s="92">
        <v>45303</v>
      </c>
      <c r="D300" s="4" t="s">
        <v>23</v>
      </c>
      <c r="E300" s="4" t="s">
        <v>26</v>
      </c>
      <c r="F300">
        <v>2227</v>
      </c>
      <c r="G300">
        <v>494</v>
      </c>
      <c r="H300">
        <v>161</v>
      </c>
      <c r="I300">
        <v>51651</v>
      </c>
      <c r="J300">
        <v>68074</v>
      </c>
      <c r="K300">
        <v>240</v>
      </c>
      <c r="L300" s="4" t="s">
        <v>19</v>
      </c>
      <c r="M300" s="4" t="s">
        <v>363</v>
      </c>
      <c r="N300" s="4" t="s">
        <v>16</v>
      </c>
      <c r="O300" s="33">
        <f t="shared" si="4"/>
        <v>5.5797564422760453E-2</v>
      </c>
      <c r="P300" s="92">
        <f>(_xlfn.XLOOKUP(Table1__3[[#This Row],[Campaign_Name]],Table3[Campaign_Name],Table3[Start_Date]))</f>
        <v>45667</v>
      </c>
      <c r="Q300" s="92">
        <f>(_xlfn.XLOOKUP(Table1__3[[#This Row],[Campaign_Name]],Table3[Campaign_Name],Table3[End_Date]))</f>
        <v>45698</v>
      </c>
      <c r="R300" s="4" t="str">
        <f>IF(Table1__3[[#This Row],[Date]] &lt; Table1__3[[#This Row],[Start_Date]], "Before",
   IF(AND(Table1__3[[#This Row],[Date]] &gt;= Table1__3[[#This Row],[Start_Date]], Table1__3[[#This Row],[Date]] &lt;= Table1__3[[#This Row],[End_Date]]), "During",
   "After"))</f>
        <v>Before</v>
      </c>
      <c r="S300" s="31"/>
      <c r="T300" s="31"/>
    </row>
    <row r="301" spans="1:20">
      <c r="A301" s="4" t="s">
        <v>334</v>
      </c>
      <c r="B301" s="4" t="s">
        <v>13</v>
      </c>
      <c r="C301" s="92">
        <v>45329</v>
      </c>
      <c r="D301" s="4" t="s">
        <v>14</v>
      </c>
      <c r="E301" s="4" t="s">
        <v>29</v>
      </c>
      <c r="F301">
        <v>1883</v>
      </c>
      <c r="G301">
        <v>432</v>
      </c>
      <c r="H301">
        <v>397</v>
      </c>
      <c r="I301">
        <v>28759</v>
      </c>
      <c r="J301">
        <v>18691</v>
      </c>
      <c r="K301">
        <v>270</v>
      </c>
      <c r="L301" s="4" t="s">
        <v>40</v>
      </c>
      <c r="M301" s="4" t="s">
        <v>37</v>
      </c>
      <c r="N301" s="4" t="s">
        <v>16</v>
      </c>
      <c r="O301" s="33">
        <f t="shared" si="4"/>
        <v>9.4300914496331587E-2</v>
      </c>
      <c r="P301" s="92">
        <f>(_xlfn.XLOOKUP(Table1__3[[#This Row],[Campaign_Name]],Table3[Campaign_Name],Table3[Start_Date]))</f>
        <v>45667</v>
      </c>
      <c r="Q301" s="92">
        <f>(_xlfn.XLOOKUP(Table1__3[[#This Row],[Campaign_Name]],Table3[Campaign_Name],Table3[End_Date]))</f>
        <v>45698</v>
      </c>
      <c r="R301" s="4" t="str">
        <f>IF(Table1__3[[#This Row],[Date]] &lt; Table1__3[[#This Row],[Start_Date]], "Before",
   IF(AND(Table1__3[[#This Row],[Date]] &gt;= Table1__3[[#This Row],[Start_Date]], Table1__3[[#This Row],[Date]] &lt;= Table1__3[[#This Row],[End_Date]]), "During",
   "After"))</f>
        <v>Before</v>
      </c>
      <c r="S301" s="31"/>
      <c r="T301" s="31"/>
    </row>
    <row r="302" spans="1:20">
      <c r="R302" s="31"/>
    </row>
    <row r="303" spans="1:20">
      <c r="R303" s="31"/>
    </row>
    <row r="304" spans="1:20">
      <c r="R304" s="31"/>
    </row>
    <row r="305" spans="18:18">
      <c r="R305" s="31"/>
    </row>
    <row r="306" spans="18:18">
      <c r="R306" s="31"/>
    </row>
    <row r="307" spans="18:18">
      <c r="R307" s="31"/>
    </row>
  </sheetData>
  <phoneticPr fontId="29" type="noConversion"/>
  <conditionalFormatting sqref="L2:M301 O2:R301">
    <cfRule type="expression" dxfId="255" priority="3">
      <formula>MOD(ROW(),2)=0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201"/>
  <sheetViews>
    <sheetView zoomScale="112" zoomScaleNormal="112" workbookViewId="0">
      <selection activeCell="G12" sqref="G12"/>
    </sheetView>
  </sheetViews>
  <sheetFormatPr defaultColWidth="14.42578125" defaultRowHeight="15"/>
  <cols>
    <col min="1" max="2" width="23.85546875" customWidth="1"/>
    <col min="3" max="3" width="18.5703125" style="7" customWidth="1"/>
    <col min="4" max="4" width="17.140625" style="7" customWidth="1"/>
    <col min="5" max="5" width="20.28515625" style="7" customWidth="1"/>
    <col min="6" max="6" width="21.7109375" style="7" customWidth="1"/>
    <col min="7" max="7" width="23.5703125" style="74" customWidth="1"/>
    <col min="8" max="8" width="21.140625" style="14" customWidth="1"/>
    <col min="9" max="9" width="16.140625" customWidth="1"/>
    <col min="10" max="10" width="27.5703125" customWidth="1"/>
    <col min="11" max="11" width="17.42578125" customWidth="1"/>
    <col min="12" max="12" width="16.42578125" customWidth="1"/>
    <col min="13" max="13" width="10.140625" customWidth="1"/>
    <col min="14" max="26" width="8.7109375" customWidth="1"/>
  </cols>
  <sheetData>
    <row r="1" spans="1:13">
      <c r="A1" s="1" t="s">
        <v>335</v>
      </c>
      <c r="B1" s="1" t="s">
        <v>1</v>
      </c>
      <c r="C1" s="8" t="s">
        <v>336</v>
      </c>
      <c r="D1" s="8" t="s">
        <v>337</v>
      </c>
      <c r="E1" s="8" t="s">
        <v>430</v>
      </c>
      <c r="F1" s="8" t="s">
        <v>338</v>
      </c>
      <c r="G1" s="8" t="s">
        <v>339</v>
      </c>
      <c r="H1" s="72" t="s">
        <v>340</v>
      </c>
      <c r="I1" s="80" t="s">
        <v>404</v>
      </c>
      <c r="J1" s="80" t="s">
        <v>426</v>
      </c>
      <c r="K1" s="80" t="s">
        <v>429</v>
      </c>
    </row>
    <row r="2" spans="1:13">
      <c r="A2" s="10">
        <v>45446</v>
      </c>
      <c r="B2" s="1" t="s">
        <v>13</v>
      </c>
      <c r="C2" s="9">
        <v>1402</v>
      </c>
      <c r="D2" s="9">
        <v>68</v>
      </c>
      <c r="E2" s="9">
        <f>Table2[[#This Row],[New_Followers]]-Table2[[#This Row],[Unfollows]]</f>
        <v>1334</v>
      </c>
      <c r="F2" s="9">
        <v>124562</v>
      </c>
      <c r="G2" s="9">
        <v>9.92</v>
      </c>
      <c r="H2" s="73">
        <v>23125</v>
      </c>
      <c r="I2" s="81">
        <v>0</v>
      </c>
      <c r="J2" s="9" t="str" cm="1">
        <f t="array" ref="J2">IFERROR(INDEX(Table3[[#All],[Campaign_Name]],MATCH(1,(Table2[[#This Row],[Week_Start_Date]]&gt;=Table3[[#All],[Start_Date]])*(Table2[[#This Row],[Week_Start_Date]]&lt;=Table3[[#All],[End_Date]]),0)),"No Campign")</f>
        <v>No Campign</v>
      </c>
      <c r="K2" s="109">
        <f>Table2[[#This Row],[Engagement_Rate]]/Table2[[#This Row],[Ad_Spend]]</f>
        <v>4.2897297297297298E-4</v>
      </c>
    </row>
    <row r="3" spans="1:13">
      <c r="A3" s="10">
        <v>45446</v>
      </c>
      <c r="B3" s="1" t="s">
        <v>22</v>
      </c>
      <c r="C3" s="9">
        <v>995</v>
      </c>
      <c r="D3" s="9">
        <v>86</v>
      </c>
      <c r="E3" s="9">
        <f>Table2[[#This Row],[New_Followers]]-Table2[[#This Row],[Unfollows]]</f>
        <v>909</v>
      </c>
      <c r="F3" s="9">
        <v>227958</v>
      </c>
      <c r="G3" s="9">
        <v>8.0500000000000007</v>
      </c>
      <c r="H3" s="73">
        <v>22788</v>
      </c>
      <c r="I3" s="81">
        <v>0</v>
      </c>
      <c r="J3" s="9" t="str" cm="1">
        <f t="array" ref="J3">IFERROR(INDEX(Table3[[#All],[Campaign_Name]],MATCH(1,(Table2[[#This Row],[Week_Start_Date]]&gt;=Table3[[#All],[Start_Date]])*(Table2[[#This Row],[Week_Start_Date]]&lt;=Table3[[#All],[End_Date]]),0)),"No Campign")</f>
        <v>No Campign</v>
      </c>
      <c r="K3" s="109">
        <f>Table2[[#This Row],[Engagement_Rate]]/Table2[[#This Row],[Ad_Spend]]</f>
        <v>3.5325609970159738E-4</v>
      </c>
    </row>
    <row r="4" spans="1:13">
      <c r="A4" s="10">
        <v>45446</v>
      </c>
      <c r="B4" s="1" t="s">
        <v>28</v>
      </c>
      <c r="C4" s="9">
        <v>1472</v>
      </c>
      <c r="D4" s="9">
        <v>296</v>
      </c>
      <c r="E4" s="9">
        <f>Table2[[#This Row],[New_Followers]]-Table2[[#This Row],[Unfollows]]</f>
        <v>1176</v>
      </c>
      <c r="F4" s="9">
        <v>370242</v>
      </c>
      <c r="G4" s="9">
        <v>7.72</v>
      </c>
      <c r="H4" s="73">
        <v>7810</v>
      </c>
      <c r="I4" s="81">
        <v>0</v>
      </c>
      <c r="J4" s="9" t="str" cm="1">
        <f t="array" ref="J4">IFERROR(INDEX(Table3[[#All],[Campaign_Name]],MATCH(1,(Table2[[#This Row],[Week_Start_Date]]&gt;=Table3[[#All],[Start_Date]])*(Table2[[#This Row],[Week_Start_Date]]&lt;=Table3[[#All],[End_Date]]),0)),"No Campign")</f>
        <v>No Campign</v>
      </c>
      <c r="K4" s="109">
        <f>Table2[[#This Row],[Engagement_Rate]]/Table2[[#This Row],[Ad_Spend]]</f>
        <v>9.8847631241997429E-4</v>
      </c>
    </row>
    <row r="5" spans="1:13">
      <c r="A5" s="10">
        <v>45453</v>
      </c>
      <c r="B5" s="1" t="s">
        <v>13</v>
      </c>
      <c r="C5" s="9">
        <v>1018</v>
      </c>
      <c r="D5" s="9">
        <v>90</v>
      </c>
      <c r="E5" s="9">
        <f>Table2[[#This Row],[New_Followers]]-Table2[[#This Row],[Unfollows]]</f>
        <v>928</v>
      </c>
      <c r="F5" s="9">
        <v>92474</v>
      </c>
      <c r="G5" s="9">
        <v>9.4</v>
      </c>
      <c r="H5" s="73">
        <v>11966</v>
      </c>
      <c r="I5" s="81">
        <f>(Table2[[#This Row],[Total_Followers]]-F2)/F2</f>
        <v>-0.257606653714616</v>
      </c>
      <c r="J5" s="9" t="str" cm="1">
        <f t="array" ref="J5">IFERROR(INDEX(Table3[[#All],[Campaign_Name]],MATCH(1,(Table2[[#This Row],[Week_Start_Date]]&gt;=Table3[[#All],[Start_Date]])*(Table2[[#This Row],[Week_Start_Date]]&lt;=Table3[[#All],[End_Date]]),0)),"No Campign")</f>
        <v>No Campign</v>
      </c>
      <c r="K5" s="109">
        <f>Table2[[#This Row],[Engagement_Rate]]/Table2[[#This Row],[Ad_Spend]]</f>
        <v>7.855590840715361E-4</v>
      </c>
      <c r="L5" s="66"/>
    </row>
    <row r="6" spans="1:13">
      <c r="A6" s="10">
        <v>45453</v>
      </c>
      <c r="B6" s="1" t="s">
        <v>22</v>
      </c>
      <c r="C6" s="9">
        <v>1461</v>
      </c>
      <c r="D6" s="9">
        <v>64</v>
      </c>
      <c r="E6" s="9">
        <f>Table2[[#This Row],[New_Followers]]-Table2[[#This Row],[Unfollows]]</f>
        <v>1397</v>
      </c>
      <c r="F6" s="9">
        <v>328902</v>
      </c>
      <c r="G6" s="9">
        <v>9.02</v>
      </c>
      <c r="H6" s="73">
        <v>26298</v>
      </c>
      <c r="I6" s="81">
        <f>(Table2[[#This Row],[Total_Followers]]-F3)/F3</f>
        <v>0.44281841391835336</v>
      </c>
      <c r="J6" s="9" t="str" cm="1">
        <f t="array" ref="J6">IFERROR(INDEX(Table3[[#All],[Campaign_Name]],MATCH(1,(Table2[[#This Row],[Week_Start_Date]]&gt;=Table3[[#All],[Start_Date]])*(Table2[[#This Row],[Week_Start_Date]]&lt;=Table3[[#All],[End_Date]]),0)),"No Campign")</f>
        <v>No Campign</v>
      </c>
      <c r="K6" s="109">
        <f>Table2[[#This Row],[Engagement_Rate]]/Table2[[#This Row],[Ad_Spend]]</f>
        <v>3.4299186249904935E-4</v>
      </c>
      <c r="L6" s="66"/>
      <c r="M6" s="92"/>
    </row>
    <row r="7" spans="1:13">
      <c r="A7" s="10">
        <v>45453</v>
      </c>
      <c r="B7" s="1" t="s">
        <v>28</v>
      </c>
      <c r="C7" s="9">
        <v>545</v>
      </c>
      <c r="D7" s="9">
        <v>93</v>
      </c>
      <c r="E7" s="9">
        <f>Table2[[#This Row],[New_Followers]]-Table2[[#This Row],[Unfollows]]</f>
        <v>452</v>
      </c>
      <c r="F7" s="9">
        <v>391621</v>
      </c>
      <c r="G7" s="9">
        <v>9.9600000000000009</v>
      </c>
      <c r="H7" s="73">
        <v>22029</v>
      </c>
      <c r="I7" s="81">
        <f>(Table2[[#This Row],[Total_Followers]]-F4)/F4</f>
        <v>5.7743313832574368E-2</v>
      </c>
      <c r="J7" s="9" t="str" cm="1">
        <f t="array" ref="J7">IFERROR(INDEX(Table3[[#All],[Campaign_Name]],MATCH(1,(Table2[[#This Row],[Week_Start_Date]]&gt;=Table3[[#All],[Start_Date]])*(Table2[[#This Row],[Week_Start_Date]]&lt;=Table3[[#All],[End_Date]]),0)),"No Campign")</f>
        <v>No Campign</v>
      </c>
      <c r="K7" s="109">
        <f>Table2[[#This Row],[Engagement_Rate]]/Table2[[#This Row],[Ad_Spend]]</f>
        <v>4.5213128149257798E-4</v>
      </c>
      <c r="L7" s="66"/>
    </row>
    <row r="8" spans="1:13">
      <c r="A8" s="10">
        <v>45460</v>
      </c>
      <c r="B8" s="1" t="s">
        <v>13</v>
      </c>
      <c r="C8" s="9">
        <v>881</v>
      </c>
      <c r="D8" s="9">
        <v>291</v>
      </c>
      <c r="E8" s="9">
        <f>Table2[[#This Row],[New_Followers]]-Table2[[#This Row],[Unfollows]]</f>
        <v>590</v>
      </c>
      <c r="F8" s="9">
        <v>95885</v>
      </c>
      <c r="G8" s="9">
        <v>5.29</v>
      </c>
      <c r="H8" s="73">
        <v>12391</v>
      </c>
      <c r="I8" s="81">
        <f>(Table2[[#This Row],[Total_Followers]]-F5)/F5</f>
        <v>3.6886043644700134E-2</v>
      </c>
      <c r="J8" s="9" t="str" cm="1">
        <f t="array" ref="J8">IFERROR(INDEX(Table3[[#All],[Campaign_Name]],MATCH(1,(Table2[[#This Row],[Week_Start_Date]]&gt;=Table3[[#All],[Start_Date]])*(Table2[[#This Row],[Week_Start_Date]]&lt;=Table3[[#All],[End_Date]]),0)),"No Campign")</f>
        <v>SummerBeats</v>
      </c>
      <c r="K8" s="109">
        <f>Table2[[#This Row],[Engagement_Rate]]/Table2[[#This Row],[Ad_Spend]]</f>
        <v>4.2692276652409007E-4</v>
      </c>
    </row>
    <row r="9" spans="1:13">
      <c r="A9" s="10">
        <v>45460</v>
      </c>
      <c r="B9" s="1" t="s">
        <v>22</v>
      </c>
      <c r="C9" s="9">
        <v>1414</v>
      </c>
      <c r="D9" s="9">
        <v>131</v>
      </c>
      <c r="E9" s="9">
        <f>Table2[[#This Row],[New_Followers]]-Table2[[#This Row],[Unfollows]]</f>
        <v>1283</v>
      </c>
      <c r="F9" s="9">
        <v>245947</v>
      </c>
      <c r="G9" s="9">
        <v>8.3000000000000007</v>
      </c>
      <c r="H9" s="73">
        <v>14477</v>
      </c>
      <c r="I9" s="81">
        <f>(Table2[[#This Row],[Total_Followers]]-F6)/F6</f>
        <v>-0.25221798590461597</v>
      </c>
      <c r="J9" s="9" t="str" cm="1">
        <f t="array" ref="J9">IFERROR(INDEX(Table3[[#All],[Campaign_Name]],MATCH(1,(Table2[[#This Row],[Week_Start_Date]]&gt;=Table3[[#All],[Start_Date]])*(Table2[[#This Row],[Week_Start_Date]]&lt;=Table3[[#All],[End_Date]]),0)),"No Campign")</f>
        <v>SummerBeats</v>
      </c>
      <c r="K9" s="109">
        <f>Table2[[#This Row],[Engagement_Rate]]/Table2[[#This Row],[Ad_Spend]]</f>
        <v>5.7332320232092286E-4</v>
      </c>
    </row>
    <row r="10" spans="1:13">
      <c r="A10" s="10">
        <v>45460</v>
      </c>
      <c r="B10" s="1" t="s">
        <v>28</v>
      </c>
      <c r="C10" s="9">
        <v>1472</v>
      </c>
      <c r="D10" s="9">
        <v>170</v>
      </c>
      <c r="E10" s="9">
        <f>Table2[[#This Row],[New_Followers]]-Table2[[#This Row],[Unfollows]]</f>
        <v>1302</v>
      </c>
      <c r="F10" s="9">
        <v>250428</v>
      </c>
      <c r="G10" s="9">
        <v>4.66</v>
      </c>
      <c r="H10" s="73">
        <v>25040</v>
      </c>
      <c r="I10" s="81">
        <f>(Table2[[#This Row],[Total_Followers]]-F7)/F7</f>
        <v>-0.36053480278126043</v>
      </c>
      <c r="J10" s="9" t="str" cm="1">
        <f t="array" ref="J10">IFERROR(INDEX(Table3[[#All],[Campaign_Name]],MATCH(1,(Table2[[#This Row],[Week_Start_Date]]&gt;=Table3[[#All],[Start_Date]])*(Table2[[#This Row],[Week_Start_Date]]&lt;=Table3[[#All],[End_Date]]),0)),"No Campign")</f>
        <v>SummerBeats</v>
      </c>
      <c r="K10" s="109">
        <f>Table2[[#This Row],[Engagement_Rate]]/Table2[[#This Row],[Ad_Spend]]</f>
        <v>1.8610223642172524E-4</v>
      </c>
    </row>
    <row r="11" spans="1:13">
      <c r="A11" s="10">
        <v>45467</v>
      </c>
      <c r="B11" s="1" t="s">
        <v>13</v>
      </c>
      <c r="C11" s="9">
        <v>809</v>
      </c>
      <c r="D11" s="9">
        <v>197</v>
      </c>
      <c r="E11" s="9">
        <f>Table2[[#This Row],[New_Followers]]-Table2[[#This Row],[Unfollows]]</f>
        <v>612</v>
      </c>
      <c r="F11" s="9">
        <v>87186</v>
      </c>
      <c r="G11" s="9">
        <v>9.48</v>
      </c>
      <c r="H11" s="73">
        <v>22619</v>
      </c>
      <c r="I11" s="81">
        <f>(Table2[[#This Row],[Total_Followers]]-F8)/F8</f>
        <v>-9.0723262241226468E-2</v>
      </c>
      <c r="J11" s="9" t="str" cm="1">
        <f t="array" ref="J11">IFERROR(INDEX(Table3[[#All],[Campaign_Name]],MATCH(1,(Table2[[#This Row],[Week_Start_Date]]&gt;=Table3[[#All],[Start_Date]])*(Table2[[#This Row],[Week_Start_Date]]&lt;=Table3[[#All],[End_Date]]),0)),"No Campign")</f>
        <v>SummerBeats</v>
      </c>
      <c r="K11" s="109">
        <f>Table2[[#This Row],[Engagement_Rate]]/Table2[[#This Row],[Ad_Spend]]</f>
        <v>4.191166718245723E-4</v>
      </c>
    </row>
    <row r="12" spans="1:13">
      <c r="A12" s="10">
        <v>45467</v>
      </c>
      <c r="B12" s="1" t="s">
        <v>22</v>
      </c>
      <c r="C12" s="9">
        <v>1371</v>
      </c>
      <c r="D12" s="9">
        <v>250</v>
      </c>
      <c r="E12" s="9">
        <f>Table2[[#This Row],[New_Followers]]-Table2[[#This Row],[Unfollows]]</f>
        <v>1121</v>
      </c>
      <c r="F12" s="9">
        <v>128620</v>
      </c>
      <c r="G12" s="9">
        <v>7.11</v>
      </c>
      <c r="H12" s="73">
        <v>12399</v>
      </c>
      <c r="I12" s="81">
        <f>(Table2[[#This Row],[Total_Followers]]-F9)/F9</f>
        <v>-0.47704180168898175</v>
      </c>
      <c r="J12" s="9" t="str" cm="1">
        <f t="array" ref="J12">IFERROR(INDEX(Table3[[#All],[Campaign_Name]],MATCH(1,(Table2[[#This Row],[Week_Start_Date]]&gt;=Table3[[#All],[Start_Date]])*(Table2[[#This Row],[Week_Start_Date]]&lt;=Table3[[#All],[End_Date]]),0)),"No Campign")</f>
        <v>SummerBeats</v>
      </c>
      <c r="K12" s="109">
        <f>Table2[[#This Row],[Engagement_Rate]]/Table2[[#This Row],[Ad_Spend]]</f>
        <v>5.7343334139849989E-4</v>
      </c>
    </row>
    <row r="13" spans="1:13">
      <c r="A13" s="10">
        <v>45467</v>
      </c>
      <c r="B13" s="1" t="s">
        <v>28</v>
      </c>
      <c r="C13" s="9">
        <v>844</v>
      </c>
      <c r="D13" s="9">
        <v>144</v>
      </c>
      <c r="E13" s="9">
        <f>Table2[[#This Row],[New_Followers]]-Table2[[#This Row],[Unfollows]]</f>
        <v>700</v>
      </c>
      <c r="F13" s="9">
        <v>126015</v>
      </c>
      <c r="G13" s="9">
        <v>9.65</v>
      </c>
      <c r="H13" s="73">
        <v>22456</v>
      </c>
      <c r="I13" s="81">
        <f>(Table2[[#This Row],[Total_Followers]]-F10)/F10</f>
        <v>-0.49680147587330492</v>
      </c>
      <c r="J13" s="9" t="str" cm="1">
        <f t="array" ref="J13">IFERROR(INDEX(Table3[[#All],[Campaign_Name]],MATCH(1,(Table2[[#This Row],[Week_Start_Date]]&gt;=Table3[[#All],[Start_Date]])*(Table2[[#This Row],[Week_Start_Date]]&lt;=Table3[[#All],[End_Date]]),0)),"No Campign")</f>
        <v>SummerBeats</v>
      </c>
      <c r="K13" s="109">
        <f>Table2[[#This Row],[Engagement_Rate]]/Table2[[#This Row],[Ad_Spend]]</f>
        <v>4.2972924830780195E-4</v>
      </c>
    </row>
    <row r="14" spans="1:13">
      <c r="A14" s="10">
        <v>45474</v>
      </c>
      <c r="B14" s="1" t="s">
        <v>13</v>
      </c>
      <c r="C14" s="9">
        <v>786</v>
      </c>
      <c r="D14" s="9">
        <v>72</v>
      </c>
      <c r="E14" s="9">
        <f>Table2[[#This Row],[New_Followers]]-Table2[[#This Row],[Unfollows]]</f>
        <v>714</v>
      </c>
      <c r="F14" s="9">
        <v>178615</v>
      </c>
      <c r="G14" s="9">
        <v>5.43</v>
      </c>
      <c r="H14" s="73">
        <v>19328</v>
      </c>
      <c r="I14" s="81">
        <f>(Table2[[#This Row],[Total_Followers]]-F11)/F11</f>
        <v>1.048666070240635</v>
      </c>
      <c r="J14" s="9" t="str" cm="1">
        <f t="array" ref="J14">IFERROR(INDEX(Table3[[#All],[Campaign_Name]],MATCH(1,(Table2[[#This Row],[Week_Start_Date]]&gt;=Table3[[#All],[Start_Date]])*(Table2[[#This Row],[Week_Start_Date]]&lt;=Table3[[#All],[End_Date]]),0)),"No Campign")</f>
        <v>SummerBeats</v>
      </c>
      <c r="K14" s="109">
        <f>Table2[[#This Row],[Engagement_Rate]]/Table2[[#This Row],[Ad_Spend]]</f>
        <v>2.8093956953642384E-4</v>
      </c>
    </row>
    <row r="15" spans="1:13">
      <c r="A15" s="10">
        <v>45474</v>
      </c>
      <c r="B15" s="1" t="s">
        <v>22</v>
      </c>
      <c r="C15" s="9">
        <v>845</v>
      </c>
      <c r="D15" s="9">
        <v>250</v>
      </c>
      <c r="E15" s="9">
        <f>Table2[[#This Row],[New_Followers]]-Table2[[#This Row],[Unfollows]]</f>
        <v>595</v>
      </c>
      <c r="F15" s="9">
        <v>218228</v>
      </c>
      <c r="G15" s="9">
        <v>4.5199999999999996</v>
      </c>
      <c r="H15" s="73">
        <v>21107</v>
      </c>
      <c r="I15" s="81">
        <f>(Table2[[#This Row],[Total_Followers]]-F12)/F12</f>
        <v>0.69668791789768314</v>
      </c>
      <c r="J15" s="9" t="str" cm="1">
        <f t="array" ref="J15">IFERROR(INDEX(Table3[[#All],[Campaign_Name]],MATCH(1,(Table2[[#This Row],[Week_Start_Date]]&gt;=Table3[[#All],[Start_Date]])*(Table2[[#This Row],[Week_Start_Date]]&lt;=Table3[[#All],[End_Date]]),0)),"No Campign")</f>
        <v>SummerBeats</v>
      </c>
      <c r="K15" s="109">
        <f>Table2[[#This Row],[Engagement_Rate]]/Table2[[#This Row],[Ad_Spend]]</f>
        <v>2.1414696546169515E-4</v>
      </c>
    </row>
    <row r="16" spans="1:13">
      <c r="A16" s="10">
        <v>45474</v>
      </c>
      <c r="B16" s="1" t="s">
        <v>28</v>
      </c>
      <c r="C16" s="9">
        <v>1218</v>
      </c>
      <c r="D16" s="9">
        <v>101</v>
      </c>
      <c r="E16" s="9">
        <f>Table2[[#This Row],[New_Followers]]-Table2[[#This Row],[Unfollows]]</f>
        <v>1117</v>
      </c>
      <c r="F16" s="9">
        <v>300397</v>
      </c>
      <c r="G16" s="9">
        <v>4.33</v>
      </c>
      <c r="H16" s="73">
        <v>12277</v>
      </c>
      <c r="I16" s="81">
        <f>(Table2[[#This Row],[Total_Followers]]-F13)/F13</f>
        <v>1.3838193865809625</v>
      </c>
      <c r="J16" s="9" t="str" cm="1">
        <f t="array" ref="J16">IFERROR(INDEX(Table3[[#All],[Campaign_Name]],MATCH(1,(Table2[[#This Row],[Week_Start_Date]]&gt;=Table3[[#All],[Start_Date]])*(Table2[[#This Row],[Week_Start_Date]]&lt;=Table3[[#All],[End_Date]]),0)),"No Campign")</f>
        <v>SummerBeats</v>
      </c>
      <c r="K16" s="109">
        <f>Table2[[#This Row],[Engagement_Rate]]/Table2[[#This Row],[Ad_Spend]]</f>
        <v>3.5269202573918708E-4</v>
      </c>
    </row>
    <row r="17" spans="1:13">
      <c r="A17" s="10">
        <v>45481</v>
      </c>
      <c r="B17" s="1" t="s">
        <v>13</v>
      </c>
      <c r="C17" s="9">
        <v>797</v>
      </c>
      <c r="D17" s="9">
        <v>130</v>
      </c>
      <c r="E17" s="9">
        <f>Table2[[#This Row],[New_Followers]]-Table2[[#This Row],[Unfollows]]</f>
        <v>667</v>
      </c>
      <c r="F17" s="9">
        <v>340121</v>
      </c>
      <c r="G17" s="9">
        <v>8.52</v>
      </c>
      <c r="H17" s="73">
        <v>11684</v>
      </c>
      <c r="I17" s="81">
        <f>(Table2[[#This Row],[Total_Followers]]-F14)/F14</f>
        <v>0.90421297203482354</v>
      </c>
      <c r="J17" s="9" t="str" cm="1">
        <f t="array" ref="J17">IFERROR(INDEX(Table3[[#All],[Campaign_Name]],MATCH(1,(Table2[[#This Row],[Week_Start_Date]]&gt;=Table3[[#All],[Start_Date]])*(Table2[[#This Row],[Week_Start_Date]]&lt;=Table3[[#All],[End_Date]]),0)),"No Campign")</f>
        <v>SummerBeats</v>
      </c>
      <c r="K17" s="109">
        <f>Table2[[#This Row],[Engagement_Rate]]/Table2[[#This Row],[Ad_Spend]]</f>
        <v>7.2920232796987335E-4</v>
      </c>
    </row>
    <row r="18" spans="1:13">
      <c r="A18" s="10">
        <v>45481</v>
      </c>
      <c r="B18" s="1" t="s">
        <v>22</v>
      </c>
      <c r="C18" s="9">
        <v>1471</v>
      </c>
      <c r="D18" s="9">
        <v>100</v>
      </c>
      <c r="E18" s="9">
        <f>Table2[[#This Row],[New_Followers]]-Table2[[#This Row],[Unfollows]]</f>
        <v>1371</v>
      </c>
      <c r="F18" s="9">
        <v>76866</v>
      </c>
      <c r="G18" s="9">
        <v>8.5500000000000007</v>
      </c>
      <c r="H18" s="73">
        <v>14412</v>
      </c>
      <c r="I18" s="81">
        <f>(Table2[[#This Row],[Total_Followers]]-F15)/F15</f>
        <v>-0.64777205491504297</v>
      </c>
      <c r="J18" s="9" t="str" cm="1">
        <f t="array" ref="J18">IFERROR(INDEX(Table3[[#All],[Campaign_Name]],MATCH(1,(Table2[[#This Row],[Week_Start_Date]]&gt;=Table3[[#All],[Start_Date]])*(Table2[[#This Row],[Week_Start_Date]]&lt;=Table3[[#All],[End_Date]]),0)),"No Campign")</f>
        <v>SummerBeats</v>
      </c>
      <c r="K18" s="109">
        <f>Table2[[#This Row],[Engagement_Rate]]/Table2[[#This Row],[Ad_Spend]]</f>
        <v>5.9325562031640306E-4</v>
      </c>
    </row>
    <row r="19" spans="1:13">
      <c r="A19" s="10">
        <v>45481</v>
      </c>
      <c r="B19" s="1" t="s">
        <v>28</v>
      </c>
      <c r="C19" s="9">
        <v>1253</v>
      </c>
      <c r="D19" s="9">
        <v>136</v>
      </c>
      <c r="E19" s="9">
        <f>Table2[[#This Row],[New_Followers]]-Table2[[#This Row],[Unfollows]]</f>
        <v>1117</v>
      </c>
      <c r="F19" s="9">
        <v>193131</v>
      </c>
      <c r="G19" s="9">
        <v>7.99</v>
      </c>
      <c r="H19" s="73">
        <v>15924</v>
      </c>
      <c r="I19" s="81">
        <f>(Table2[[#This Row],[Total_Followers]]-F16)/F16</f>
        <v>-0.35708079641274715</v>
      </c>
      <c r="J19" s="9" t="str" cm="1">
        <f t="array" ref="J19">IFERROR(INDEX(Table3[[#All],[Campaign_Name]],MATCH(1,(Table2[[#This Row],[Week_Start_Date]]&gt;=Table3[[#All],[Start_Date]])*(Table2[[#This Row],[Week_Start_Date]]&lt;=Table3[[#All],[End_Date]]),0)),"No Campign")</f>
        <v>SummerBeats</v>
      </c>
      <c r="K19" s="109">
        <f>Table2[[#This Row],[Engagement_Rate]]/Table2[[#This Row],[Ad_Spend]]</f>
        <v>5.017583521728209E-4</v>
      </c>
    </row>
    <row r="20" spans="1:13">
      <c r="A20" s="10">
        <v>45488</v>
      </c>
      <c r="B20" s="1" t="s">
        <v>13</v>
      </c>
      <c r="C20" s="9">
        <v>616</v>
      </c>
      <c r="D20" s="9">
        <v>257</v>
      </c>
      <c r="E20" s="9">
        <f>Table2[[#This Row],[New_Followers]]-Table2[[#This Row],[Unfollows]]</f>
        <v>359</v>
      </c>
      <c r="F20" s="9">
        <v>169665</v>
      </c>
      <c r="G20" s="9">
        <v>6.31</v>
      </c>
      <c r="H20" s="73">
        <v>12390</v>
      </c>
      <c r="I20" s="81">
        <f>(Table2[[#This Row],[Total_Followers]]-F17)/F17</f>
        <v>-0.50116282146647806</v>
      </c>
      <c r="J20" s="9" t="str" cm="1">
        <f t="array" ref="J20">IFERROR(INDEX(Table3[[#All],[Campaign_Name]],MATCH(1,(Table2[[#This Row],[Week_Start_Date]]&gt;=Table3[[#All],[Start_Date]])*(Table2[[#This Row],[Week_Start_Date]]&lt;=Table3[[#All],[End_Date]]),0)),"No Campign")</f>
        <v>SummerBeats</v>
      </c>
      <c r="K20" s="109">
        <f>Table2[[#This Row],[Engagement_Rate]]/Table2[[#This Row],[Ad_Spend]]</f>
        <v>5.0928167877320419E-4</v>
      </c>
    </row>
    <row r="21" spans="1:13">
      <c r="A21" s="10">
        <v>45488</v>
      </c>
      <c r="B21" s="1" t="s">
        <v>22</v>
      </c>
      <c r="C21" s="9">
        <v>1308</v>
      </c>
      <c r="D21" s="9">
        <v>210</v>
      </c>
      <c r="E21" s="9">
        <f>Table2[[#This Row],[New_Followers]]-Table2[[#This Row],[Unfollows]]</f>
        <v>1098</v>
      </c>
      <c r="F21" s="9">
        <v>263729</v>
      </c>
      <c r="G21" s="9">
        <v>8.5299999999999994</v>
      </c>
      <c r="H21" s="73">
        <v>25742</v>
      </c>
      <c r="I21" s="81">
        <f>(Table2[[#This Row],[Total_Followers]]-F18)/F18</f>
        <v>2.4310228189316474</v>
      </c>
      <c r="J21" s="9" t="str" cm="1">
        <f t="array" ref="J21">IFERROR(INDEX(Table3[[#All],[Campaign_Name]],MATCH(1,(Table2[[#This Row],[Week_Start_Date]]&gt;=Table3[[#All],[Start_Date]])*(Table2[[#This Row],[Week_Start_Date]]&lt;=Table3[[#All],[End_Date]]),0)),"No Campign")</f>
        <v>SummerBeats</v>
      </c>
      <c r="K21" s="109">
        <f>Table2[[#This Row],[Engagement_Rate]]/Table2[[#This Row],[Ad_Spend]]</f>
        <v>3.3136508429803434E-4</v>
      </c>
      <c r="L21" s="7"/>
    </row>
    <row r="22" spans="1:13">
      <c r="A22" s="10">
        <v>45488</v>
      </c>
      <c r="B22" s="1" t="s">
        <v>28</v>
      </c>
      <c r="C22" s="9">
        <v>981</v>
      </c>
      <c r="D22" s="9">
        <v>69</v>
      </c>
      <c r="E22" s="9">
        <f>Table2[[#This Row],[New_Followers]]-Table2[[#This Row],[Unfollows]]</f>
        <v>912</v>
      </c>
      <c r="F22" s="9">
        <v>206921</v>
      </c>
      <c r="G22" s="9">
        <v>8.42</v>
      </c>
      <c r="H22" s="73">
        <v>10495</v>
      </c>
      <c r="I22" s="81">
        <f>(Table2[[#This Row],[Total_Followers]]-F19)/F19</f>
        <v>7.1402312420067213E-2</v>
      </c>
      <c r="J22" s="9" t="str" cm="1">
        <f t="array" ref="J22">IFERROR(INDEX(Table3[[#All],[Campaign_Name]],MATCH(1,(Table2[[#This Row],[Week_Start_Date]]&gt;=Table3[[#All],[Start_Date]])*(Table2[[#This Row],[Week_Start_Date]]&lt;=Table3[[#All],[End_Date]]),0)),"No Campign")</f>
        <v>SummerBeats</v>
      </c>
      <c r="K22" s="109">
        <f>Table2[[#This Row],[Engagement_Rate]]/Table2[[#This Row],[Ad_Spend]]</f>
        <v>8.0228680323963793E-4</v>
      </c>
    </row>
    <row r="23" spans="1:13">
      <c r="A23" s="10">
        <v>45495</v>
      </c>
      <c r="B23" s="1" t="s">
        <v>13</v>
      </c>
      <c r="C23" s="9">
        <v>866</v>
      </c>
      <c r="D23" s="9">
        <v>74</v>
      </c>
      <c r="E23" s="9">
        <f>Table2[[#This Row],[New_Followers]]-Table2[[#This Row],[Unfollows]]</f>
        <v>792</v>
      </c>
      <c r="F23" s="9">
        <v>204121</v>
      </c>
      <c r="G23" s="9">
        <v>9.34</v>
      </c>
      <c r="H23" s="73">
        <v>7797</v>
      </c>
      <c r="I23" s="81">
        <f>(Table2[[#This Row],[Total_Followers]]-F20)/F20</f>
        <v>0.20308254501517697</v>
      </c>
      <c r="J23" s="9" t="str" cm="1">
        <f t="array" ref="J23">IFERROR(INDEX(Table3[[#All],[Campaign_Name]],MATCH(1,(Table2[[#This Row],[Week_Start_Date]]&gt;=Table3[[#All],[Start_Date]])*(Table2[[#This Row],[Week_Start_Date]]&lt;=Table3[[#All],[End_Date]]),0)),"No Campign")</f>
        <v>No Campign</v>
      </c>
      <c r="K23" s="109">
        <f>Table2[[#This Row],[Engagement_Rate]]/Table2[[#This Row],[Ad_Spend]]</f>
        <v>1.197896626907785E-3</v>
      </c>
    </row>
    <row r="24" spans="1:13">
      <c r="A24" s="10">
        <v>45495</v>
      </c>
      <c r="B24" s="1" t="s">
        <v>22</v>
      </c>
      <c r="C24" s="9">
        <v>547</v>
      </c>
      <c r="D24" s="9">
        <v>183</v>
      </c>
      <c r="E24" s="9">
        <f>Table2[[#This Row],[New_Followers]]-Table2[[#This Row],[Unfollows]]</f>
        <v>364</v>
      </c>
      <c r="F24" s="9">
        <v>266350</v>
      </c>
      <c r="G24" s="9">
        <v>5.65</v>
      </c>
      <c r="H24" s="73">
        <v>15595</v>
      </c>
      <c r="I24" s="81">
        <f>(Table2[[#This Row],[Total_Followers]]-F21)/F21</f>
        <v>9.9382320488076784E-3</v>
      </c>
      <c r="J24" s="9" t="str" cm="1">
        <f t="array" ref="J24">IFERROR(INDEX(Table3[[#All],[Campaign_Name]],MATCH(1,(Table2[[#This Row],[Week_Start_Date]]&gt;=Table3[[#All],[Start_Date]])*(Table2[[#This Row],[Week_Start_Date]]&lt;=Table3[[#All],[End_Date]]),0)),"No Campign")</f>
        <v>No Campign</v>
      </c>
      <c r="K24" s="109">
        <f>Table2[[#This Row],[Engagement_Rate]]/Table2[[#This Row],[Ad_Spend]]</f>
        <v>3.6229560756652774E-4</v>
      </c>
    </row>
    <row r="25" spans="1:13">
      <c r="A25" s="10">
        <v>45495</v>
      </c>
      <c r="B25" s="1" t="s">
        <v>28</v>
      </c>
      <c r="C25" s="9">
        <v>1241</v>
      </c>
      <c r="D25" s="9">
        <v>116</v>
      </c>
      <c r="E25" s="9">
        <f>Table2[[#This Row],[New_Followers]]-Table2[[#This Row],[Unfollows]]</f>
        <v>1125</v>
      </c>
      <c r="F25" s="9">
        <v>380606</v>
      </c>
      <c r="G25" s="9">
        <v>4.2</v>
      </c>
      <c r="H25" s="73">
        <v>24617</v>
      </c>
      <c r="I25" s="81">
        <f>(Table2[[#This Row],[Total_Followers]]-F22)/F22</f>
        <v>0.83937831346262581</v>
      </c>
      <c r="J25" s="9" t="str" cm="1">
        <f t="array" ref="J25">IFERROR(INDEX(Table3[[#All],[Campaign_Name]],MATCH(1,(Table2[[#This Row],[Week_Start_Date]]&gt;=Table3[[#All],[Start_Date]])*(Table2[[#This Row],[Week_Start_Date]]&lt;=Table3[[#All],[End_Date]]),0)),"No Campign")</f>
        <v>No Campign</v>
      </c>
      <c r="K25" s="109">
        <f>Table2[[#This Row],[Engagement_Rate]]/Table2[[#This Row],[Ad_Spend]]</f>
        <v>1.7061380346914735E-4</v>
      </c>
    </row>
    <row r="26" spans="1:13">
      <c r="A26" s="10">
        <v>45502</v>
      </c>
      <c r="B26" s="1" t="s">
        <v>13</v>
      </c>
      <c r="C26" s="9">
        <v>973</v>
      </c>
      <c r="D26" s="9">
        <v>104</v>
      </c>
      <c r="E26" s="9">
        <f>Table2[[#This Row],[New_Followers]]-Table2[[#This Row],[Unfollows]]</f>
        <v>869</v>
      </c>
      <c r="F26" s="9">
        <v>376358</v>
      </c>
      <c r="G26" s="9">
        <v>3.87</v>
      </c>
      <c r="H26" s="73">
        <v>9847</v>
      </c>
      <c r="I26" s="81">
        <f>(Table2[[#This Row],[Total_Followers]]-F23)/F23</f>
        <v>0.84379853126331927</v>
      </c>
      <c r="J26" s="9" t="str" cm="1">
        <f t="array" ref="J26">IFERROR(INDEX(Table3[[#All],[Campaign_Name]],MATCH(1,(Table2[[#This Row],[Week_Start_Date]]&gt;=Table3[[#All],[Start_Date]])*(Table2[[#This Row],[Week_Start_Date]]&lt;=Table3[[#All],[End_Date]]),0)),"No Campign")</f>
        <v>No Campign</v>
      </c>
      <c r="K26" s="109">
        <f>Table2[[#This Row],[Engagement_Rate]]/Table2[[#This Row],[Ad_Spend]]</f>
        <v>3.9301310043668122E-4</v>
      </c>
    </row>
    <row r="27" spans="1:13">
      <c r="A27" s="10">
        <v>45502</v>
      </c>
      <c r="B27" s="1" t="s">
        <v>22</v>
      </c>
      <c r="C27" s="9">
        <v>611</v>
      </c>
      <c r="D27" s="9">
        <v>197</v>
      </c>
      <c r="E27" s="9">
        <f>Table2[[#This Row],[New_Followers]]-Table2[[#This Row],[Unfollows]]</f>
        <v>414</v>
      </c>
      <c r="F27" s="9">
        <v>79423</v>
      </c>
      <c r="G27" s="9">
        <v>5.82</v>
      </c>
      <c r="H27" s="73">
        <v>13644</v>
      </c>
      <c r="I27" s="81">
        <f>(Table2[[#This Row],[Total_Followers]]-F24)/F24</f>
        <v>-0.7018096489581378</v>
      </c>
      <c r="J27" s="9" t="str" cm="1">
        <f t="array" ref="J27">IFERROR(INDEX(Table3[[#All],[Campaign_Name]],MATCH(1,(Table2[[#This Row],[Week_Start_Date]]&gt;=Table3[[#All],[Start_Date]])*(Table2[[#This Row],[Week_Start_Date]]&lt;=Table3[[#All],[End_Date]]),0)),"No Campign")</f>
        <v>No Campign</v>
      </c>
      <c r="K27" s="109">
        <f>Table2[[#This Row],[Engagement_Rate]]/Table2[[#This Row],[Ad_Spend]]</f>
        <v>4.2656112576956907E-4</v>
      </c>
    </row>
    <row r="28" spans="1:13">
      <c r="A28" s="10">
        <v>45502</v>
      </c>
      <c r="B28" s="1" t="s">
        <v>28</v>
      </c>
      <c r="C28" s="9">
        <v>983</v>
      </c>
      <c r="D28" s="9">
        <v>134</v>
      </c>
      <c r="E28" s="9">
        <f>Table2[[#This Row],[New_Followers]]-Table2[[#This Row],[Unfollows]]</f>
        <v>849</v>
      </c>
      <c r="F28" s="9">
        <v>352178</v>
      </c>
      <c r="G28" s="9">
        <v>3.55</v>
      </c>
      <c r="H28" s="73">
        <v>11421</v>
      </c>
      <c r="I28" s="81">
        <f>(Table2[[#This Row],[Total_Followers]]-F25)/F25</f>
        <v>-7.4691413167422477E-2</v>
      </c>
      <c r="J28" s="9" t="str" cm="1">
        <f t="array" ref="J28">IFERROR(INDEX(Table3[[#All],[Campaign_Name]],MATCH(1,(Table2[[#This Row],[Week_Start_Date]]&gt;=Table3[[#All],[Start_Date]])*(Table2[[#This Row],[Week_Start_Date]]&lt;=Table3[[#All],[End_Date]]),0)),"No Campign")</f>
        <v>No Campign</v>
      </c>
      <c r="K28" s="109">
        <f>Table2[[#This Row],[Engagement_Rate]]/Table2[[#This Row],[Ad_Spend]]</f>
        <v>3.1083092548813589E-4</v>
      </c>
    </row>
    <row r="29" spans="1:13">
      <c r="A29" s="10">
        <v>45509</v>
      </c>
      <c r="B29" s="1" t="s">
        <v>13</v>
      </c>
      <c r="C29" s="9">
        <v>1449</v>
      </c>
      <c r="D29" s="9">
        <v>96</v>
      </c>
      <c r="E29" s="9">
        <f>Table2[[#This Row],[New_Followers]]-Table2[[#This Row],[Unfollows]]</f>
        <v>1353</v>
      </c>
      <c r="F29" s="9">
        <v>200636</v>
      </c>
      <c r="G29" s="9">
        <v>9.92</v>
      </c>
      <c r="H29" s="73">
        <v>15613</v>
      </c>
      <c r="I29" s="81">
        <f>(Table2[[#This Row],[Total_Followers]]-F26)/F26</f>
        <v>-0.46690119513867118</v>
      </c>
      <c r="J29" s="9" t="str" cm="1">
        <f t="array" ref="J29">IFERROR(INDEX(Table3[[#All],[Campaign_Name]],MATCH(1,(Table2[[#This Row],[Week_Start_Date]]&gt;=Table3[[#All],[Start_Date]])*(Table2[[#This Row],[Week_Start_Date]]&lt;=Table3[[#All],[End_Date]]),0)),"No Campign")</f>
        <v>No Campign</v>
      </c>
      <c r="K29" s="109">
        <f>Table2[[#This Row],[Engagement_Rate]]/Table2[[#This Row],[Ad_Spend]]</f>
        <v>6.353679625952732E-4</v>
      </c>
      <c r="M29" s="7"/>
    </row>
    <row r="30" spans="1:13">
      <c r="A30" s="10">
        <v>45509</v>
      </c>
      <c r="B30" s="1" t="s">
        <v>22</v>
      </c>
      <c r="C30" s="9">
        <v>752</v>
      </c>
      <c r="D30" s="9">
        <v>170</v>
      </c>
      <c r="E30" s="9">
        <f>Table2[[#This Row],[New_Followers]]-Table2[[#This Row],[Unfollows]]</f>
        <v>582</v>
      </c>
      <c r="F30" s="9">
        <v>132756</v>
      </c>
      <c r="G30" s="9">
        <v>8.17</v>
      </c>
      <c r="H30" s="73">
        <v>23900</v>
      </c>
      <c r="I30" s="81">
        <f>(Table2[[#This Row],[Total_Followers]]-F27)/F27</f>
        <v>0.67150573511451339</v>
      </c>
      <c r="J30" s="9" t="str" cm="1">
        <f t="array" ref="J30">IFERROR(INDEX(Table3[[#All],[Campaign_Name]],MATCH(1,(Table2[[#This Row],[Week_Start_Date]]&gt;=Table3[[#All],[Start_Date]])*(Table2[[#This Row],[Week_Start_Date]]&lt;=Table3[[#All],[End_Date]]),0)),"No Campign")</f>
        <v>No Campign</v>
      </c>
      <c r="K30" s="109">
        <f>Table2[[#This Row],[Engagement_Rate]]/Table2[[#This Row],[Ad_Spend]]</f>
        <v>3.418410041841004E-4</v>
      </c>
    </row>
    <row r="31" spans="1:13">
      <c r="A31" s="10">
        <v>45509</v>
      </c>
      <c r="B31" s="1" t="s">
        <v>28</v>
      </c>
      <c r="C31" s="9">
        <v>937</v>
      </c>
      <c r="D31" s="9">
        <v>179</v>
      </c>
      <c r="E31" s="9">
        <f>Table2[[#This Row],[New_Followers]]-Table2[[#This Row],[Unfollows]]</f>
        <v>758</v>
      </c>
      <c r="F31" s="9">
        <v>318098</v>
      </c>
      <c r="G31" s="9">
        <v>5.3</v>
      </c>
      <c r="H31" s="73">
        <v>5836</v>
      </c>
      <c r="I31" s="81">
        <f>(Table2[[#This Row],[Total_Followers]]-F28)/F28</f>
        <v>-9.6769247369228067E-2</v>
      </c>
      <c r="J31" s="9" t="str" cm="1">
        <f t="array" ref="J31">IFERROR(INDEX(Table3[[#All],[Campaign_Name]],MATCH(1,(Table2[[#This Row],[Week_Start_Date]]&gt;=Table3[[#All],[Start_Date]])*(Table2[[#This Row],[Week_Start_Date]]&lt;=Table3[[#All],[End_Date]]),0)),"No Campign")</f>
        <v>No Campign</v>
      </c>
      <c r="K31" s="109">
        <f>Table2[[#This Row],[Engagement_Rate]]/Table2[[#This Row],[Ad_Spend]]</f>
        <v>9.0815627141877994E-4</v>
      </c>
    </row>
    <row r="32" spans="1:13">
      <c r="A32" s="10">
        <v>45516</v>
      </c>
      <c r="B32" s="1" t="s">
        <v>13</v>
      </c>
      <c r="C32" s="9">
        <v>1060</v>
      </c>
      <c r="D32" s="9">
        <v>83</v>
      </c>
      <c r="E32" s="9">
        <f>Table2[[#This Row],[New_Followers]]-Table2[[#This Row],[Unfollows]]</f>
        <v>977</v>
      </c>
      <c r="F32" s="9">
        <v>68724</v>
      </c>
      <c r="G32" s="9">
        <v>5.98</v>
      </c>
      <c r="H32" s="73">
        <v>5624</v>
      </c>
      <c r="I32" s="81">
        <f>(Table2[[#This Row],[Total_Followers]]-F29)/F29</f>
        <v>-0.65746924779202143</v>
      </c>
      <c r="J32" s="9" t="str" cm="1">
        <f t="array" ref="J32">IFERROR(INDEX(Table3[[#All],[Campaign_Name]],MATCH(1,(Table2[[#This Row],[Week_Start_Date]]&gt;=Table3[[#All],[Start_Date]])*(Table2[[#This Row],[Week_Start_Date]]&lt;=Table3[[#All],[End_Date]]),0)),"No Campign")</f>
        <v>No Campign</v>
      </c>
      <c r="K32" s="109">
        <f>Table2[[#This Row],[Engagement_Rate]]/Table2[[#This Row],[Ad_Spend]]</f>
        <v>1.0633001422475107E-3</v>
      </c>
    </row>
    <row r="33" spans="1:11">
      <c r="A33" s="10">
        <v>45516</v>
      </c>
      <c r="B33" s="1" t="s">
        <v>22</v>
      </c>
      <c r="C33" s="9">
        <v>1456</v>
      </c>
      <c r="D33" s="9">
        <v>265</v>
      </c>
      <c r="E33" s="9">
        <f>Table2[[#This Row],[New_Followers]]-Table2[[#This Row],[Unfollows]]</f>
        <v>1191</v>
      </c>
      <c r="F33" s="9">
        <v>115505</v>
      </c>
      <c r="G33" s="9">
        <v>7.49</v>
      </c>
      <c r="H33" s="73">
        <v>10311</v>
      </c>
      <c r="I33" s="81">
        <f>(Table2[[#This Row],[Total_Followers]]-F30)/F30</f>
        <v>-0.12994516255385821</v>
      </c>
      <c r="J33" s="9" t="str" cm="1">
        <f t="array" ref="J33">IFERROR(INDEX(Table3[[#All],[Campaign_Name]],MATCH(1,(Table2[[#This Row],[Week_Start_Date]]&gt;=Table3[[#All],[Start_Date]])*(Table2[[#This Row],[Week_Start_Date]]&lt;=Table3[[#All],[End_Date]]),0)),"No Campign")</f>
        <v>No Campign</v>
      </c>
      <c r="K33" s="109">
        <f>Table2[[#This Row],[Engagement_Rate]]/Table2[[#This Row],[Ad_Spend]]</f>
        <v>7.26408689748812E-4</v>
      </c>
    </row>
    <row r="34" spans="1:11">
      <c r="A34" s="10">
        <v>45516</v>
      </c>
      <c r="B34" s="1" t="s">
        <v>28</v>
      </c>
      <c r="C34" s="9">
        <v>1109</v>
      </c>
      <c r="D34" s="9">
        <v>205</v>
      </c>
      <c r="E34" s="9">
        <f>Table2[[#This Row],[New_Followers]]-Table2[[#This Row],[Unfollows]]</f>
        <v>904</v>
      </c>
      <c r="F34" s="9">
        <v>276722</v>
      </c>
      <c r="G34" s="9">
        <v>9.3800000000000008</v>
      </c>
      <c r="H34" s="73">
        <v>8274</v>
      </c>
      <c r="I34" s="81">
        <f>(Table2[[#This Row],[Total_Followers]]-F31)/F31</f>
        <v>-0.13007312211959837</v>
      </c>
      <c r="J34" s="9" t="str" cm="1">
        <f t="array" ref="J34">IFERROR(INDEX(Table3[[#All],[Campaign_Name]],MATCH(1,(Table2[[#This Row],[Week_Start_Date]]&gt;=Table3[[#All],[Start_Date]])*(Table2[[#This Row],[Week_Start_Date]]&lt;=Table3[[#All],[End_Date]]),0)),"No Campign")</f>
        <v>No Campign</v>
      </c>
      <c r="K34" s="109">
        <f>Table2[[#This Row],[Engagement_Rate]]/Table2[[#This Row],[Ad_Spend]]</f>
        <v>1.1336717428087988E-3</v>
      </c>
    </row>
    <row r="35" spans="1:11">
      <c r="A35" s="10">
        <v>45523</v>
      </c>
      <c r="B35" s="1" t="s">
        <v>13</v>
      </c>
      <c r="C35" s="9">
        <v>1002</v>
      </c>
      <c r="D35" s="9">
        <v>93</v>
      </c>
      <c r="E35" s="9">
        <f>Table2[[#This Row],[New_Followers]]-Table2[[#This Row],[Unfollows]]</f>
        <v>909</v>
      </c>
      <c r="F35" s="9">
        <v>353538</v>
      </c>
      <c r="G35" s="9">
        <v>5.84</v>
      </c>
      <c r="H35" s="73">
        <v>6031</v>
      </c>
      <c r="I35" s="81">
        <f>(Table2[[#This Row],[Total_Followers]]-F32)/F32</f>
        <v>4.1443163960188585</v>
      </c>
      <c r="J35" s="9" t="str" cm="1">
        <f t="array" ref="J35">IFERROR(INDEX(Table3[[#All],[Campaign_Name]],MATCH(1,(Table2[[#This Row],[Week_Start_Date]]&gt;=Table3[[#All],[Start_Date]])*(Table2[[#This Row],[Week_Start_Date]]&lt;=Table3[[#All],[End_Date]]),0)),"No Campign")</f>
        <v>No Campign</v>
      </c>
      <c r="K35" s="109">
        <f>Table2[[#This Row],[Engagement_Rate]]/Table2[[#This Row],[Ad_Spend]]</f>
        <v>9.683302934836677E-4</v>
      </c>
    </row>
    <row r="36" spans="1:11">
      <c r="A36" s="10">
        <v>45523</v>
      </c>
      <c r="B36" s="1" t="s">
        <v>22</v>
      </c>
      <c r="C36" s="9">
        <v>571</v>
      </c>
      <c r="D36" s="9">
        <v>189</v>
      </c>
      <c r="E36" s="9">
        <f>Table2[[#This Row],[New_Followers]]-Table2[[#This Row],[Unfollows]]</f>
        <v>382</v>
      </c>
      <c r="F36" s="9">
        <v>61445</v>
      </c>
      <c r="G36" s="9">
        <v>5.41</v>
      </c>
      <c r="H36" s="73">
        <v>27829</v>
      </c>
      <c r="I36" s="81">
        <f>(Table2[[#This Row],[Total_Followers]]-F33)/F33</f>
        <v>-0.46803168693995933</v>
      </c>
      <c r="J36" s="9" t="str" cm="1">
        <f t="array" ref="J36">IFERROR(INDEX(Table3[[#All],[Campaign_Name]],MATCH(1,(Table2[[#This Row],[Week_Start_Date]]&gt;=Table3[[#All],[Start_Date]])*(Table2[[#This Row],[Week_Start_Date]]&lt;=Table3[[#All],[End_Date]]),0)),"No Campign")</f>
        <v>No Campign</v>
      </c>
      <c r="K36" s="109">
        <f>Table2[[#This Row],[Engagement_Rate]]/Table2[[#This Row],[Ad_Spend]]</f>
        <v>1.9440152359049913E-4</v>
      </c>
    </row>
    <row r="37" spans="1:11">
      <c r="A37" s="10">
        <v>45523</v>
      </c>
      <c r="B37" s="1" t="s">
        <v>28</v>
      </c>
      <c r="C37" s="9">
        <v>1240</v>
      </c>
      <c r="D37" s="9">
        <v>231</v>
      </c>
      <c r="E37" s="9">
        <f>Table2[[#This Row],[New_Followers]]-Table2[[#This Row],[Unfollows]]</f>
        <v>1009</v>
      </c>
      <c r="F37" s="9">
        <v>165035</v>
      </c>
      <c r="G37" s="9">
        <v>6.05</v>
      </c>
      <c r="H37" s="73">
        <v>18267</v>
      </c>
      <c r="I37" s="81">
        <f>(Table2[[#This Row],[Total_Followers]]-F34)/F34</f>
        <v>-0.4036072303611567</v>
      </c>
      <c r="J37" s="9" t="str" cm="1">
        <f t="array" ref="J37">IFERROR(INDEX(Table3[[#All],[Campaign_Name]],MATCH(1,(Table2[[#This Row],[Week_Start_Date]]&gt;=Table3[[#All],[Start_Date]])*(Table2[[#This Row],[Week_Start_Date]]&lt;=Table3[[#All],[End_Date]]),0)),"No Campign")</f>
        <v>No Campign</v>
      </c>
      <c r="K37" s="109">
        <f>Table2[[#This Row],[Engagement_Rate]]/Table2[[#This Row],[Ad_Spend]]</f>
        <v>3.3119833579679201E-4</v>
      </c>
    </row>
    <row r="38" spans="1:11">
      <c r="A38" s="10">
        <v>45530</v>
      </c>
      <c r="B38" s="1" t="s">
        <v>13</v>
      </c>
      <c r="C38" s="9">
        <v>1154</v>
      </c>
      <c r="D38" s="9">
        <v>132</v>
      </c>
      <c r="E38" s="9">
        <f>Table2[[#This Row],[New_Followers]]-Table2[[#This Row],[Unfollows]]</f>
        <v>1022</v>
      </c>
      <c r="F38" s="9">
        <v>194595</v>
      </c>
      <c r="G38" s="9">
        <v>7.54</v>
      </c>
      <c r="H38" s="73">
        <v>26624</v>
      </c>
      <c r="I38" s="81">
        <f>(Table2[[#This Row],[Total_Followers]]-F35)/F35</f>
        <v>-0.4495782631570015</v>
      </c>
      <c r="J38" s="9" t="str" cm="1">
        <f t="array" ref="J38">IFERROR(INDEX(Table3[[#All],[Campaign_Name]],MATCH(1,(Table2[[#This Row],[Week_Start_Date]]&gt;=Table3[[#All],[Start_Date]])*(Table2[[#This Row],[Week_Start_Date]]&lt;=Table3[[#All],[End_Date]]),0)),"No Campign")</f>
        <v>No Campign</v>
      </c>
      <c r="K38" s="109">
        <f>Table2[[#This Row],[Engagement_Rate]]/Table2[[#This Row],[Ad_Spend]]</f>
        <v>2.8320312499999998E-4</v>
      </c>
    </row>
    <row r="39" spans="1:11">
      <c r="A39" s="10">
        <v>45530</v>
      </c>
      <c r="B39" s="1" t="s">
        <v>22</v>
      </c>
      <c r="C39" s="9">
        <v>537</v>
      </c>
      <c r="D39" s="9">
        <v>275</v>
      </c>
      <c r="E39" s="9">
        <f>Table2[[#This Row],[New_Followers]]-Table2[[#This Row],[Unfollows]]</f>
        <v>262</v>
      </c>
      <c r="F39" s="9">
        <v>236238</v>
      </c>
      <c r="G39" s="9">
        <v>5.87</v>
      </c>
      <c r="H39" s="73">
        <v>26644</v>
      </c>
      <c r="I39" s="81">
        <f>(Table2[[#This Row],[Total_Followers]]-F36)/F36</f>
        <v>2.8447066482219872</v>
      </c>
      <c r="J39" s="9" t="str" cm="1">
        <f t="array" ref="J39">IFERROR(INDEX(Table3[[#All],[Campaign_Name]],MATCH(1,(Table2[[#This Row],[Week_Start_Date]]&gt;=Table3[[#All],[Start_Date]])*(Table2[[#This Row],[Week_Start_Date]]&lt;=Table3[[#All],[End_Date]]),0)),"No Campign")</f>
        <v>No Campign</v>
      </c>
      <c r="K39" s="109">
        <f>Table2[[#This Row],[Engagement_Rate]]/Table2[[#This Row],[Ad_Spend]]</f>
        <v>2.2031226542561176E-4</v>
      </c>
    </row>
    <row r="40" spans="1:11">
      <c r="A40" s="10">
        <v>45530</v>
      </c>
      <c r="B40" s="1" t="s">
        <v>28</v>
      </c>
      <c r="C40" s="9">
        <v>1456</v>
      </c>
      <c r="D40" s="9">
        <v>290</v>
      </c>
      <c r="E40" s="9">
        <f>Table2[[#This Row],[New_Followers]]-Table2[[#This Row],[Unfollows]]</f>
        <v>1166</v>
      </c>
      <c r="F40" s="9">
        <v>271044</v>
      </c>
      <c r="G40" s="9">
        <v>7.17</v>
      </c>
      <c r="H40" s="73">
        <v>13051</v>
      </c>
      <c r="I40" s="81">
        <f>(Table2[[#This Row],[Total_Followers]]-F37)/F37</f>
        <v>0.64234253340200564</v>
      </c>
      <c r="J40" s="9" t="str" cm="1">
        <f t="array" ref="J40">IFERROR(INDEX(Table3[[#All],[Campaign_Name]],MATCH(1,(Table2[[#This Row],[Week_Start_Date]]&gt;=Table3[[#All],[Start_Date]])*(Table2[[#This Row],[Week_Start_Date]]&lt;=Table3[[#All],[End_Date]]),0)),"No Campign")</f>
        <v>No Campign</v>
      </c>
      <c r="K40" s="109">
        <f>Table2[[#This Row],[Engagement_Rate]]/Table2[[#This Row],[Ad_Spend]]</f>
        <v>5.4938318902766068E-4</v>
      </c>
    </row>
    <row r="41" spans="1:11">
      <c r="A41" s="10">
        <v>45537</v>
      </c>
      <c r="B41" s="1" t="s">
        <v>13</v>
      </c>
      <c r="C41" s="9">
        <v>721</v>
      </c>
      <c r="D41" s="9">
        <v>206</v>
      </c>
      <c r="E41" s="9">
        <f>Table2[[#This Row],[New_Followers]]-Table2[[#This Row],[Unfollows]]</f>
        <v>515</v>
      </c>
      <c r="F41" s="9">
        <v>334887</v>
      </c>
      <c r="G41" s="9">
        <v>6.05</v>
      </c>
      <c r="H41" s="73">
        <v>14217</v>
      </c>
      <c r="I41" s="81">
        <f>(Table2[[#This Row],[Total_Followers]]-F38)/F38</f>
        <v>0.72094349803437907</v>
      </c>
      <c r="J41" s="9" t="str" cm="1">
        <f t="array" ref="J41">IFERROR(INDEX(Table3[[#All],[Campaign_Name]],MATCH(1,(Table2[[#This Row],[Week_Start_Date]]&gt;=Table3[[#All],[Start_Date]])*(Table2[[#This Row],[Week_Start_Date]]&lt;=Table3[[#All],[End_Date]]),0)),"No Campign")</f>
        <v>No Campign</v>
      </c>
      <c r="K41" s="109">
        <f>Table2[[#This Row],[Engagement_Rate]]/Table2[[#This Row],[Ad_Spend]]</f>
        <v>4.2554688049518182E-4</v>
      </c>
    </row>
    <row r="42" spans="1:11">
      <c r="A42" s="10">
        <v>45537</v>
      </c>
      <c r="B42" s="1" t="s">
        <v>22</v>
      </c>
      <c r="C42" s="9">
        <v>1098</v>
      </c>
      <c r="D42" s="9">
        <v>142</v>
      </c>
      <c r="E42" s="9">
        <f>Table2[[#This Row],[New_Followers]]-Table2[[#This Row],[Unfollows]]</f>
        <v>956</v>
      </c>
      <c r="F42" s="9">
        <v>359150</v>
      </c>
      <c r="G42" s="9">
        <v>7.51</v>
      </c>
      <c r="H42" s="73">
        <v>16385</v>
      </c>
      <c r="I42" s="81">
        <f>(Table2[[#This Row],[Total_Followers]]-F39)/F39</f>
        <v>0.5202888612331632</v>
      </c>
      <c r="J42" s="9" t="str" cm="1">
        <f t="array" ref="J42">IFERROR(INDEX(Table3[[#All],[Campaign_Name]],MATCH(1,(Table2[[#This Row],[Week_Start_Date]]&gt;=Table3[[#All],[Start_Date]])*(Table2[[#This Row],[Week_Start_Date]]&lt;=Table3[[#All],[End_Date]]),0)),"No Campign")</f>
        <v>No Campign</v>
      </c>
      <c r="K42" s="109">
        <f>Table2[[#This Row],[Engagement_Rate]]/Table2[[#This Row],[Ad_Spend]]</f>
        <v>4.5834604821483061E-4</v>
      </c>
    </row>
    <row r="43" spans="1:11">
      <c r="A43" s="10">
        <v>45537</v>
      </c>
      <c r="B43" s="1" t="s">
        <v>28</v>
      </c>
      <c r="C43" s="9">
        <v>1096</v>
      </c>
      <c r="D43" s="9">
        <v>65</v>
      </c>
      <c r="E43" s="9">
        <f>Table2[[#This Row],[New_Followers]]-Table2[[#This Row],[Unfollows]]</f>
        <v>1031</v>
      </c>
      <c r="F43" s="9">
        <v>358295</v>
      </c>
      <c r="G43" s="9">
        <v>7.66</v>
      </c>
      <c r="H43" s="73">
        <v>24548</v>
      </c>
      <c r="I43" s="81">
        <f>(Table2[[#This Row],[Total_Followers]]-F40)/F40</f>
        <v>0.32190714422750549</v>
      </c>
      <c r="J43" s="9" t="str" cm="1">
        <f t="array" ref="J43">IFERROR(INDEX(Table3[[#All],[Campaign_Name]],MATCH(1,(Table2[[#This Row],[Week_Start_Date]]&gt;=Table3[[#All],[Start_Date]])*(Table2[[#This Row],[Week_Start_Date]]&lt;=Table3[[#All],[End_Date]]),0)),"No Campign")</f>
        <v>No Campign</v>
      </c>
      <c r="K43" s="109">
        <f>Table2[[#This Row],[Engagement_Rate]]/Table2[[#This Row],[Ad_Spend]]</f>
        <v>3.1204171419260224E-4</v>
      </c>
    </row>
    <row r="44" spans="1:11">
      <c r="A44" s="10">
        <v>45544</v>
      </c>
      <c r="B44" s="1" t="s">
        <v>13</v>
      </c>
      <c r="C44" s="9">
        <v>912</v>
      </c>
      <c r="D44" s="9">
        <v>275</v>
      </c>
      <c r="E44" s="9">
        <f>Table2[[#This Row],[New_Followers]]-Table2[[#This Row],[Unfollows]]</f>
        <v>637</v>
      </c>
      <c r="F44" s="9">
        <v>368454</v>
      </c>
      <c r="G44" s="9">
        <v>6.03</v>
      </c>
      <c r="H44" s="73">
        <v>9195</v>
      </c>
      <c r="I44" s="81">
        <f>(Table2[[#This Row],[Total_Followers]]-F41)/F41</f>
        <v>0.10023381021060836</v>
      </c>
      <c r="J44" s="9" t="str" cm="1">
        <f t="array" ref="J44">IFERROR(INDEX(Table3[[#All],[Campaign_Name]],MATCH(1,(Table2[[#This Row],[Week_Start_Date]]&gt;=Table3[[#All],[Start_Date]])*(Table2[[#This Row],[Week_Start_Date]]&lt;=Table3[[#All],[End_Date]]),0)),"No Campign")</f>
        <v>No Campign</v>
      </c>
      <c r="K44" s="109">
        <f>Table2[[#This Row],[Engagement_Rate]]/Table2[[#This Row],[Ad_Spend]]</f>
        <v>6.5579119086460035E-4</v>
      </c>
    </row>
    <row r="45" spans="1:11">
      <c r="A45" s="10">
        <v>45544</v>
      </c>
      <c r="B45" s="1" t="s">
        <v>22</v>
      </c>
      <c r="C45" s="9">
        <v>1430</v>
      </c>
      <c r="D45" s="9">
        <v>162</v>
      </c>
      <c r="E45" s="9">
        <f>Table2[[#This Row],[New_Followers]]-Table2[[#This Row],[Unfollows]]</f>
        <v>1268</v>
      </c>
      <c r="F45" s="9">
        <v>269082</v>
      </c>
      <c r="G45" s="9">
        <v>3.4</v>
      </c>
      <c r="H45" s="73">
        <v>18071</v>
      </c>
      <c r="I45" s="81">
        <f>(Table2[[#This Row],[Total_Followers]]-F42)/F42</f>
        <v>-0.250781010719755</v>
      </c>
      <c r="J45" s="9" t="str" cm="1">
        <f t="array" ref="J45">IFERROR(INDEX(Table3[[#All],[Campaign_Name]],MATCH(1,(Table2[[#This Row],[Week_Start_Date]]&gt;=Table3[[#All],[Start_Date]])*(Table2[[#This Row],[Week_Start_Date]]&lt;=Table3[[#All],[End_Date]]),0)),"No Campign")</f>
        <v>No Campign</v>
      </c>
      <c r="K45" s="109">
        <f>Table2[[#This Row],[Engagement_Rate]]/Table2[[#This Row],[Ad_Spend]]</f>
        <v>1.8814675446848542E-4</v>
      </c>
    </row>
    <row r="46" spans="1:11">
      <c r="A46" s="10">
        <v>45544</v>
      </c>
      <c r="B46" s="1" t="s">
        <v>28</v>
      </c>
      <c r="C46" s="9">
        <v>854</v>
      </c>
      <c r="D46" s="9">
        <v>129</v>
      </c>
      <c r="E46" s="9">
        <f>Table2[[#This Row],[New_Followers]]-Table2[[#This Row],[Unfollows]]</f>
        <v>725</v>
      </c>
      <c r="F46" s="9">
        <v>310903</v>
      </c>
      <c r="G46" s="9">
        <v>7.83</v>
      </c>
      <c r="H46" s="73">
        <v>16875</v>
      </c>
      <c r="I46" s="81">
        <f>(Table2[[#This Row],[Total_Followers]]-F43)/F43</f>
        <v>-0.13227089409564743</v>
      </c>
      <c r="J46" s="9" t="str" cm="1">
        <f t="array" ref="J46">IFERROR(INDEX(Table3[[#All],[Campaign_Name]],MATCH(1,(Table2[[#This Row],[Week_Start_Date]]&gt;=Table3[[#All],[Start_Date]])*(Table2[[#This Row],[Week_Start_Date]]&lt;=Table3[[#All],[End_Date]]),0)),"No Campign")</f>
        <v>No Campign</v>
      </c>
      <c r="K46" s="109">
        <f>Table2[[#This Row],[Engagement_Rate]]/Table2[[#This Row],[Ad_Spend]]</f>
        <v>4.64E-4</v>
      </c>
    </row>
    <row r="47" spans="1:11">
      <c r="A47" s="10">
        <v>45551</v>
      </c>
      <c r="B47" s="1" t="s">
        <v>13</v>
      </c>
      <c r="C47" s="9">
        <v>681</v>
      </c>
      <c r="D47" s="9">
        <v>210</v>
      </c>
      <c r="E47" s="9">
        <f>Table2[[#This Row],[New_Followers]]-Table2[[#This Row],[Unfollows]]</f>
        <v>471</v>
      </c>
      <c r="F47" s="9">
        <v>248581</v>
      </c>
      <c r="G47" s="9">
        <v>8.76</v>
      </c>
      <c r="H47" s="73">
        <v>9567</v>
      </c>
      <c r="I47" s="81">
        <f>(Table2[[#This Row],[Total_Followers]]-F44)/F44</f>
        <v>-0.32534047669451277</v>
      </c>
      <c r="J47" s="9" t="str" cm="1">
        <f t="array" ref="J47">IFERROR(INDEX(Table3[[#All],[Campaign_Name]],MATCH(1,(Table2[[#This Row],[Week_Start_Date]]&gt;=Table3[[#All],[Start_Date]])*(Table2[[#This Row],[Week_Start_Date]]&lt;=Table3[[#All],[End_Date]]),0)),"No Campign")</f>
        <v>No Campign</v>
      </c>
      <c r="K47" s="109">
        <f>Table2[[#This Row],[Engagement_Rate]]/Table2[[#This Row],[Ad_Spend]]</f>
        <v>9.1564753841329573E-4</v>
      </c>
    </row>
    <row r="48" spans="1:11">
      <c r="A48" s="10">
        <v>45551</v>
      </c>
      <c r="B48" s="1" t="s">
        <v>22</v>
      </c>
      <c r="C48" s="9">
        <v>1373</v>
      </c>
      <c r="D48" s="9">
        <v>82</v>
      </c>
      <c r="E48" s="9">
        <f>Table2[[#This Row],[New_Followers]]-Table2[[#This Row],[Unfollows]]</f>
        <v>1291</v>
      </c>
      <c r="F48" s="9">
        <v>371015</v>
      </c>
      <c r="G48" s="9">
        <v>9.52</v>
      </c>
      <c r="H48" s="73">
        <v>20306</v>
      </c>
      <c r="I48" s="81">
        <f>(Table2[[#This Row],[Total_Followers]]-F45)/F45</f>
        <v>0.37881760950193621</v>
      </c>
      <c r="J48" s="9" t="str" cm="1">
        <f t="array" ref="J48">IFERROR(INDEX(Table3[[#All],[Campaign_Name]],MATCH(1,(Table2[[#This Row],[Week_Start_Date]]&gt;=Table3[[#All],[Start_Date]])*(Table2[[#This Row],[Week_Start_Date]]&lt;=Table3[[#All],[End_Date]]),0)),"No Campign")</f>
        <v>No Campign</v>
      </c>
      <c r="K48" s="109">
        <f>Table2[[#This Row],[Engagement_Rate]]/Table2[[#This Row],[Ad_Spend]]</f>
        <v>4.6882694770018714E-4</v>
      </c>
    </row>
    <row r="49" spans="1:11">
      <c r="A49" s="10">
        <v>45551</v>
      </c>
      <c r="B49" s="1" t="s">
        <v>28</v>
      </c>
      <c r="C49" s="9">
        <v>685</v>
      </c>
      <c r="D49" s="9">
        <v>285</v>
      </c>
      <c r="E49" s="9">
        <f>Table2[[#This Row],[New_Followers]]-Table2[[#This Row],[Unfollows]]</f>
        <v>400</v>
      </c>
      <c r="F49" s="9">
        <v>177452</v>
      </c>
      <c r="G49" s="9">
        <v>3.36</v>
      </c>
      <c r="H49" s="73">
        <v>21134</v>
      </c>
      <c r="I49" s="81">
        <f>(Table2[[#This Row],[Total_Followers]]-F46)/F46</f>
        <v>-0.42923677159757223</v>
      </c>
      <c r="J49" s="9" t="str" cm="1">
        <f t="array" ref="J49">IFERROR(INDEX(Table3[[#All],[Campaign_Name]],MATCH(1,(Table2[[#This Row],[Week_Start_Date]]&gt;=Table3[[#All],[Start_Date]])*(Table2[[#This Row],[Week_Start_Date]]&lt;=Table3[[#All],[End_Date]]),0)),"No Campign")</f>
        <v>No Campign</v>
      </c>
      <c r="K49" s="109">
        <f>Table2[[#This Row],[Engagement_Rate]]/Table2[[#This Row],[Ad_Spend]]</f>
        <v>1.5898552096148386E-4</v>
      </c>
    </row>
    <row r="50" spans="1:11">
      <c r="A50" s="10">
        <v>45558</v>
      </c>
      <c r="B50" s="1" t="s">
        <v>13</v>
      </c>
      <c r="C50" s="9">
        <v>1290</v>
      </c>
      <c r="D50" s="9">
        <v>177</v>
      </c>
      <c r="E50" s="9">
        <f>Table2[[#This Row],[New_Followers]]-Table2[[#This Row],[Unfollows]]</f>
        <v>1113</v>
      </c>
      <c r="F50" s="9">
        <v>80745</v>
      </c>
      <c r="G50" s="9">
        <v>9.2200000000000006</v>
      </c>
      <c r="H50" s="73">
        <v>26872</v>
      </c>
      <c r="I50" s="81">
        <f>(Table2[[#This Row],[Total_Followers]]-F47)/F47</f>
        <v>-0.67517630068267487</v>
      </c>
      <c r="J50" s="9" t="str" cm="1">
        <f t="array" ref="J50">IFERROR(INDEX(Table3[[#All],[Campaign_Name]],MATCH(1,(Table2[[#This Row],[Week_Start_Date]]&gt;=Table3[[#All],[Start_Date]])*(Table2[[#This Row],[Week_Start_Date]]&lt;=Table3[[#All],[End_Date]]),0)),"No Campign")</f>
        <v>No Campign</v>
      </c>
      <c r="K50" s="109">
        <f>Table2[[#This Row],[Engagement_Rate]]/Table2[[#This Row],[Ad_Spend]]</f>
        <v>3.4310806787734449E-4</v>
      </c>
    </row>
    <row r="51" spans="1:11">
      <c r="A51" s="10">
        <v>45558</v>
      </c>
      <c r="B51" s="1" t="s">
        <v>22</v>
      </c>
      <c r="C51" s="9">
        <v>1437</v>
      </c>
      <c r="D51" s="9">
        <v>239</v>
      </c>
      <c r="E51" s="9">
        <f>Table2[[#This Row],[New_Followers]]-Table2[[#This Row],[Unfollows]]</f>
        <v>1198</v>
      </c>
      <c r="F51" s="9">
        <v>362441</v>
      </c>
      <c r="G51" s="9">
        <v>5.57</v>
      </c>
      <c r="H51" s="73">
        <v>10253</v>
      </c>
      <c r="I51" s="81">
        <f>(Table2[[#This Row],[Total_Followers]]-F48)/F48</f>
        <v>-2.310957777987413E-2</v>
      </c>
      <c r="J51" s="9" t="str" cm="1">
        <f t="array" ref="J51">IFERROR(INDEX(Table3[[#All],[Campaign_Name]],MATCH(1,(Table2[[#This Row],[Week_Start_Date]]&gt;=Table3[[#All],[Start_Date]])*(Table2[[#This Row],[Week_Start_Date]]&lt;=Table3[[#All],[End_Date]]),0)),"No Campign")</f>
        <v>No Campign</v>
      </c>
      <c r="K51" s="109">
        <f>Table2[[#This Row],[Engagement_Rate]]/Table2[[#This Row],[Ad_Spend]]</f>
        <v>5.4325563249780552E-4</v>
      </c>
    </row>
    <row r="52" spans="1:11">
      <c r="A52" s="10">
        <v>45558</v>
      </c>
      <c r="B52" s="1" t="s">
        <v>28</v>
      </c>
      <c r="C52" s="9">
        <v>769</v>
      </c>
      <c r="D52" s="9">
        <v>295</v>
      </c>
      <c r="E52" s="9">
        <f>Table2[[#This Row],[New_Followers]]-Table2[[#This Row],[Unfollows]]</f>
        <v>474</v>
      </c>
      <c r="F52" s="9">
        <v>344771</v>
      </c>
      <c r="G52" s="9">
        <v>8.06</v>
      </c>
      <c r="H52" s="73">
        <v>23963</v>
      </c>
      <c r="I52" s="81">
        <f>(Table2[[#This Row],[Total_Followers]]-F49)/F49</f>
        <v>0.94289723418163784</v>
      </c>
      <c r="J52" s="9" t="str" cm="1">
        <f t="array" ref="J52">IFERROR(INDEX(Table3[[#All],[Campaign_Name]],MATCH(1,(Table2[[#This Row],[Week_Start_Date]]&gt;=Table3[[#All],[Start_Date]])*(Table2[[#This Row],[Week_Start_Date]]&lt;=Table3[[#All],[End_Date]]),0)),"No Campign")</f>
        <v>No Campign</v>
      </c>
      <c r="K52" s="109">
        <f>Table2[[#This Row],[Engagement_Rate]]/Table2[[#This Row],[Ad_Spend]]</f>
        <v>3.3635187580853819E-4</v>
      </c>
    </row>
    <row r="53" spans="1:11">
      <c r="A53" s="10">
        <v>45565</v>
      </c>
      <c r="B53" s="1" t="s">
        <v>13</v>
      </c>
      <c r="C53" s="9">
        <v>1416</v>
      </c>
      <c r="D53" s="9">
        <v>284</v>
      </c>
      <c r="E53" s="9">
        <f>Table2[[#This Row],[New_Followers]]-Table2[[#This Row],[Unfollows]]</f>
        <v>1132</v>
      </c>
      <c r="F53" s="9">
        <v>374952</v>
      </c>
      <c r="G53" s="9">
        <v>3.45</v>
      </c>
      <c r="H53" s="73">
        <v>11335</v>
      </c>
      <c r="I53" s="81">
        <f>(Table2[[#This Row],[Total_Followers]]-F50)/F50</f>
        <v>3.6436559539290361</v>
      </c>
      <c r="J53" s="9" t="str" cm="1">
        <f t="array" ref="J53">IFERROR(INDEX(Table3[[#All],[Campaign_Name]],MATCH(1,(Table2[[#This Row],[Week_Start_Date]]&gt;=Table3[[#All],[Start_Date]])*(Table2[[#This Row],[Week_Start_Date]]&lt;=Table3[[#All],[End_Date]]),0)),"No Campign")</f>
        <v>No Campign</v>
      </c>
      <c r="K53" s="109">
        <f>Table2[[#This Row],[Engagement_Rate]]/Table2[[#This Row],[Ad_Spend]]</f>
        <v>3.0436700485222761E-4</v>
      </c>
    </row>
    <row r="54" spans="1:11">
      <c r="A54" s="10">
        <v>45565</v>
      </c>
      <c r="B54" s="1" t="s">
        <v>22</v>
      </c>
      <c r="C54" s="9">
        <v>998</v>
      </c>
      <c r="D54" s="9">
        <v>154</v>
      </c>
      <c r="E54" s="9">
        <f>Table2[[#This Row],[New_Followers]]-Table2[[#This Row],[Unfollows]]</f>
        <v>844</v>
      </c>
      <c r="F54" s="9">
        <v>179781</v>
      </c>
      <c r="G54" s="9">
        <v>9.58</v>
      </c>
      <c r="H54" s="73">
        <v>12115</v>
      </c>
      <c r="I54" s="81">
        <f>(Table2[[#This Row],[Total_Followers]]-F51)/F51</f>
        <v>-0.50397168090806499</v>
      </c>
      <c r="J54" s="9" t="str" cm="1">
        <f t="array" ref="J54">IFERROR(INDEX(Table3[[#All],[Campaign_Name]],MATCH(1,(Table2[[#This Row],[Week_Start_Date]]&gt;=Table3[[#All],[Start_Date]])*(Table2[[#This Row],[Week_Start_Date]]&lt;=Table3[[#All],[End_Date]]),0)),"No Campign")</f>
        <v>No Campign</v>
      </c>
      <c r="K54" s="109">
        <f>Table2[[#This Row],[Engagement_Rate]]/Table2[[#This Row],[Ad_Spend]]</f>
        <v>7.9075526207181182E-4</v>
      </c>
    </row>
    <row r="55" spans="1:11">
      <c r="A55" s="10">
        <v>45565</v>
      </c>
      <c r="B55" s="1" t="s">
        <v>28</v>
      </c>
      <c r="C55" s="9">
        <v>1421</v>
      </c>
      <c r="D55" s="9">
        <v>246</v>
      </c>
      <c r="E55" s="9">
        <f>Table2[[#This Row],[New_Followers]]-Table2[[#This Row],[Unfollows]]</f>
        <v>1175</v>
      </c>
      <c r="F55" s="9">
        <v>358581</v>
      </c>
      <c r="G55" s="9">
        <v>8.8800000000000008</v>
      </c>
      <c r="H55" s="73">
        <v>24358</v>
      </c>
      <c r="I55" s="81">
        <f>(Table2[[#This Row],[Total_Followers]]-F52)/F52</f>
        <v>4.0055573119548916E-2</v>
      </c>
      <c r="J55" s="9" t="str" cm="1">
        <f t="array" ref="J55">IFERROR(INDEX(Table3[[#All],[Campaign_Name]],MATCH(1,(Table2[[#This Row],[Week_Start_Date]]&gt;=Table3[[#All],[Start_Date]])*(Table2[[#This Row],[Week_Start_Date]]&lt;=Table3[[#All],[End_Date]]),0)),"No Campign")</f>
        <v>No Campign</v>
      </c>
      <c r="K55" s="109">
        <f>Table2[[#This Row],[Engagement_Rate]]/Table2[[#This Row],[Ad_Spend]]</f>
        <v>3.6456195089908864E-4</v>
      </c>
    </row>
    <row r="56" spans="1:11">
      <c r="A56" s="10">
        <v>45572</v>
      </c>
      <c r="B56" s="1" t="s">
        <v>13</v>
      </c>
      <c r="C56" s="9">
        <v>764</v>
      </c>
      <c r="D56" s="9">
        <v>205</v>
      </c>
      <c r="E56" s="9">
        <f>Table2[[#This Row],[New_Followers]]-Table2[[#This Row],[Unfollows]]</f>
        <v>559</v>
      </c>
      <c r="F56" s="9">
        <v>319294</v>
      </c>
      <c r="G56" s="9">
        <v>6.23</v>
      </c>
      <c r="H56" s="73">
        <v>12181</v>
      </c>
      <c r="I56" s="81">
        <f>(Table2[[#This Row],[Total_Followers]]-F53)/F53</f>
        <v>-0.14844033369604642</v>
      </c>
      <c r="J56" s="9" t="str" cm="1">
        <f t="array" ref="J56">IFERROR(INDEX(Table3[[#All],[Campaign_Name]],MATCH(1,(Table2[[#This Row],[Week_Start_Date]]&gt;=Table3[[#All],[Start_Date]])*(Table2[[#This Row],[Week_Start_Date]]&lt;=Table3[[#All],[End_Date]]),0)),"No Campign")</f>
        <v>No Campign</v>
      </c>
      <c r="K56" s="109">
        <f>Table2[[#This Row],[Engagement_Rate]]/Table2[[#This Row],[Ad_Spend]]</f>
        <v>5.114522617190707E-4</v>
      </c>
    </row>
    <row r="57" spans="1:11">
      <c r="A57" s="10">
        <v>45572</v>
      </c>
      <c r="B57" s="1" t="s">
        <v>22</v>
      </c>
      <c r="C57" s="9">
        <v>678</v>
      </c>
      <c r="D57" s="9">
        <v>124</v>
      </c>
      <c r="E57" s="9">
        <f>Table2[[#This Row],[New_Followers]]-Table2[[#This Row],[Unfollows]]</f>
        <v>554</v>
      </c>
      <c r="F57" s="9">
        <v>192022</v>
      </c>
      <c r="G57" s="9">
        <v>8.4499999999999993</v>
      </c>
      <c r="H57" s="73">
        <v>17729</v>
      </c>
      <c r="I57" s="81">
        <f>(Table2[[#This Row],[Total_Followers]]-F54)/F54</f>
        <v>6.8088396437888318E-2</v>
      </c>
      <c r="J57" s="9" t="str" cm="1">
        <f t="array" ref="J57">IFERROR(INDEX(Table3[[#All],[Campaign_Name]],MATCH(1,(Table2[[#This Row],[Week_Start_Date]]&gt;=Table3[[#All],[Start_Date]])*(Table2[[#This Row],[Week_Start_Date]]&lt;=Table3[[#All],[End_Date]]),0)),"No Campign")</f>
        <v>No Campign</v>
      </c>
      <c r="K57" s="109">
        <f>Table2[[#This Row],[Engagement_Rate]]/Table2[[#This Row],[Ad_Spend]]</f>
        <v>4.7662022674713742E-4</v>
      </c>
    </row>
    <row r="58" spans="1:11">
      <c r="A58" s="10">
        <v>45572</v>
      </c>
      <c r="B58" s="1" t="s">
        <v>28</v>
      </c>
      <c r="C58" s="9">
        <v>1328</v>
      </c>
      <c r="D58" s="9">
        <v>103</v>
      </c>
      <c r="E58" s="9">
        <f>Table2[[#This Row],[New_Followers]]-Table2[[#This Row],[Unfollows]]</f>
        <v>1225</v>
      </c>
      <c r="F58" s="9">
        <v>151462</v>
      </c>
      <c r="G58" s="9">
        <v>8.4</v>
      </c>
      <c r="H58" s="73">
        <v>10881</v>
      </c>
      <c r="I58" s="81">
        <f>(Table2[[#This Row],[Total_Followers]]-F55)/F55</f>
        <v>-0.57760729096075925</v>
      </c>
      <c r="J58" s="9" t="str" cm="1">
        <f t="array" ref="J58">IFERROR(INDEX(Table3[[#All],[Campaign_Name]],MATCH(1,(Table2[[#This Row],[Week_Start_Date]]&gt;=Table3[[#All],[Start_Date]])*(Table2[[#This Row],[Week_Start_Date]]&lt;=Table3[[#All],[End_Date]]),0)),"No Campign")</f>
        <v>No Campign</v>
      </c>
      <c r="K58" s="109">
        <f>Table2[[#This Row],[Engagement_Rate]]/Table2[[#This Row],[Ad_Spend]]</f>
        <v>7.7198786876206231E-4</v>
      </c>
    </row>
    <row r="59" spans="1:11">
      <c r="A59" s="10">
        <v>45579</v>
      </c>
      <c r="B59" s="1" t="s">
        <v>13</v>
      </c>
      <c r="C59" s="9">
        <v>1161</v>
      </c>
      <c r="D59" s="9">
        <v>269</v>
      </c>
      <c r="E59" s="9">
        <f>Table2[[#This Row],[New_Followers]]-Table2[[#This Row],[Unfollows]]</f>
        <v>892</v>
      </c>
      <c r="F59" s="9">
        <v>188193</v>
      </c>
      <c r="G59" s="9">
        <v>7.34</v>
      </c>
      <c r="H59" s="73">
        <v>18576</v>
      </c>
      <c r="I59" s="81">
        <f>(Table2[[#This Row],[Total_Followers]]-F56)/F56</f>
        <v>-0.41059650353592614</v>
      </c>
      <c r="J59" s="9" t="str" cm="1">
        <f t="array" ref="J59">IFERROR(INDEX(Table3[[#All],[Campaign_Name]],MATCH(1,(Table2[[#This Row],[Week_Start_Date]]&gt;=Table3[[#All],[Start_Date]])*(Table2[[#This Row],[Week_Start_Date]]&lt;=Table3[[#All],[End_Date]]),0)),"No Campign")</f>
        <v>No Campign</v>
      </c>
      <c r="K59" s="109">
        <f>Table2[[#This Row],[Engagement_Rate]]/Table2[[#This Row],[Ad_Spend]]</f>
        <v>3.9513350559862187E-4</v>
      </c>
    </row>
    <row r="60" spans="1:11">
      <c r="A60" s="10">
        <v>45579</v>
      </c>
      <c r="B60" s="1" t="s">
        <v>22</v>
      </c>
      <c r="C60" s="9">
        <v>588</v>
      </c>
      <c r="D60" s="9">
        <v>52</v>
      </c>
      <c r="E60" s="9">
        <f>Table2[[#This Row],[New_Followers]]-Table2[[#This Row],[Unfollows]]</f>
        <v>536</v>
      </c>
      <c r="F60" s="9">
        <v>292040</v>
      </c>
      <c r="G60" s="9">
        <v>8.14</v>
      </c>
      <c r="H60" s="73">
        <v>9383</v>
      </c>
      <c r="I60" s="81">
        <f>(Table2[[#This Row],[Total_Followers]]-F57)/F57</f>
        <v>0.52086740061034675</v>
      </c>
      <c r="J60" s="9" t="str" cm="1">
        <f t="array" ref="J60">IFERROR(INDEX(Table3[[#All],[Campaign_Name]],MATCH(1,(Table2[[#This Row],[Week_Start_Date]]&gt;=Table3[[#All],[Start_Date]])*(Table2[[#This Row],[Week_Start_Date]]&lt;=Table3[[#All],[End_Date]]),0)),"No Campign")</f>
        <v>No Campign</v>
      </c>
      <c r="K60" s="109">
        <f>Table2[[#This Row],[Engagement_Rate]]/Table2[[#This Row],[Ad_Spend]]</f>
        <v>8.6752637749120754E-4</v>
      </c>
    </row>
    <row r="61" spans="1:11">
      <c r="A61" s="10">
        <v>45579</v>
      </c>
      <c r="B61" s="1" t="s">
        <v>28</v>
      </c>
      <c r="C61" s="9">
        <v>1457</v>
      </c>
      <c r="D61" s="9">
        <v>215</v>
      </c>
      <c r="E61" s="9">
        <f>Table2[[#This Row],[New_Followers]]-Table2[[#This Row],[Unfollows]]</f>
        <v>1242</v>
      </c>
      <c r="F61" s="9">
        <v>325325</v>
      </c>
      <c r="G61" s="9">
        <v>9.58</v>
      </c>
      <c r="H61" s="73">
        <v>14178</v>
      </c>
      <c r="I61" s="81">
        <f>(Table2[[#This Row],[Total_Followers]]-F58)/F58</f>
        <v>1.1478984827877619</v>
      </c>
      <c r="J61" s="9" t="str" cm="1">
        <f t="array" ref="J61">IFERROR(INDEX(Table3[[#All],[Campaign_Name]],MATCH(1,(Table2[[#This Row],[Week_Start_Date]]&gt;=Table3[[#All],[Start_Date]])*(Table2[[#This Row],[Week_Start_Date]]&lt;=Table3[[#All],[End_Date]]),0)),"No Campign")</f>
        <v>No Campign</v>
      </c>
      <c r="K61" s="109">
        <f>Table2[[#This Row],[Engagement_Rate]]/Table2[[#This Row],[Ad_Spend]]</f>
        <v>6.756947383269855E-4</v>
      </c>
    </row>
    <row r="62" spans="1:11">
      <c r="A62" s="10">
        <v>45586</v>
      </c>
      <c r="B62" s="1" t="s">
        <v>13</v>
      </c>
      <c r="C62" s="9">
        <v>1190</v>
      </c>
      <c r="D62" s="9">
        <v>242</v>
      </c>
      <c r="E62" s="9">
        <f>Table2[[#This Row],[New_Followers]]-Table2[[#This Row],[Unfollows]]</f>
        <v>948</v>
      </c>
      <c r="F62" s="9">
        <v>86849</v>
      </c>
      <c r="G62" s="9">
        <v>8.06</v>
      </c>
      <c r="H62" s="73">
        <v>21254</v>
      </c>
      <c r="I62" s="81">
        <f>(Table2[[#This Row],[Total_Followers]]-F59)/F59</f>
        <v>-0.5385109966895687</v>
      </c>
      <c r="J62" s="9" t="str" cm="1">
        <f t="array" ref="J62">IFERROR(INDEX(Table3[[#All],[Campaign_Name]],MATCH(1,(Table2[[#This Row],[Week_Start_Date]]&gt;=Table3[[#All],[Start_Date]])*(Table2[[#This Row],[Week_Start_Date]]&lt;=Table3[[#All],[End_Date]]),0)),"No Campign")</f>
        <v>No Campign</v>
      </c>
      <c r="K62" s="109">
        <f>Table2[[#This Row],[Engagement_Rate]]/Table2[[#This Row],[Ad_Spend]]</f>
        <v>3.7922273454408584E-4</v>
      </c>
    </row>
    <row r="63" spans="1:11">
      <c r="A63" s="10">
        <v>45586</v>
      </c>
      <c r="B63" s="1" t="s">
        <v>22</v>
      </c>
      <c r="C63" s="9">
        <v>886</v>
      </c>
      <c r="D63" s="9">
        <v>124</v>
      </c>
      <c r="E63" s="9">
        <f>Table2[[#This Row],[New_Followers]]-Table2[[#This Row],[Unfollows]]</f>
        <v>762</v>
      </c>
      <c r="F63" s="9">
        <v>141161</v>
      </c>
      <c r="G63" s="9">
        <v>8.19</v>
      </c>
      <c r="H63" s="73">
        <v>14215</v>
      </c>
      <c r="I63" s="81">
        <f>(Table2[[#This Row],[Total_Followers]]-F60)/F60</f>
        <v>-0.51663813176277218</v>
      </c>
      <c r="J63" s="9" t="str" cm="1">
        <f t="array" ref="J63">IFERROR(INDEX(Table3[[#All],[Campaign_Name]],MATCH(1,(Table2[[#This Row],[Week_Start_Date]]&gt;=Table3[[#All],[Start_Date]])*(Table2[[#This Row],[Week_Start_Date]]&lt;=Table3[[#All],[End_Date]]),0)),"No Campign")</f>
        <v>No Campign</v>
      </c>
      <c r="K63" s="109">
        <f>Table2[[#This Row],[Engagement_Rate]]/Table2[[#This Row],[Ad_Spend]]</f>
        <v>5.7615195216320788E-4</v>
      </c>
    </row>
    <row r="64" spans="1:11">
      <c r="A64" s="10">
        <v>45586</v>
      </c>
      <c r="B64" s="1" t="s">
        <v>28</v>
      </c>
      <c r="C64" s="9">
        <v>1237</v>
      </c>
      <c r="D64" s="9">
        <v>155</v>
      </c>
      <c r="E64" s="9">
        <f>Table2[[#This Row],[New_Followers]]-Table2[[#This Row],[Unfollows]]</f>
        <v>1082</v>
      </c>
      <c r="F64" s="9">
        <v>149916</v>
      </c>
      <c r="G64" s="9">
        <v>4.4800000000000004</v>
      </c>
      <c r="H64" s="73">
        <v>16921</v>
      </c>
      <c r="I64" s="81">
        <f>(Table2[[#This Row],[Total_Followers]]-F61)/F61</f>
        <v>-0.53918081918081917</v>
      </c>
      <c r="J64" s="9" t="str" cm="1">
        <f t="array" ref="J64">IFERROR(INDEX(Table3[[#All],[Campaign_Name]],MATCH(1,(Table2[[#This Row],[Week_Start_Date]]&gt;=Table3[[#All],[Start_Date]])*(Table2[[#This Row],[Week_Start_Date]]&lt;=Table3[[#All],[End_Date]]),0)),"No Campign")</f>
        <v>No Campign</v>
      </c>
      <c r="K64" s="109">
        <f>Table2[[#This Row],[Engagement_Rate]]/Table2[[#This Row],[Ad_Spend]]</f>
        <v>2.6475976597127831E-4</v>
      </c>
    </row>
    <row r="65" spans="1:11">
      <c r="A65" s="10">
        <v>45593</v>
      </c>
      <c r="B65" s="1" t="s">
        <v>13</v>
      </c>
      <c r="C65" s="9">
        <v>1435</v>
      </c>
      <c r="D65" s="9">
        <v>261</v>
      </c>
      <c r="E65" s="9">
        <f>Table2[[#This Row],[New_Followers]]-Table2[[#This Row],[Unfollows]]</f>
        <v>1174</v>
      </c>
      <c r="F65" s="9">
        <v>308533</v>
      </c>
      <c r="G65" s="9">
        <v>4.5199999999999996</v>
      </c>
      <c r="H65" s="73">
        <v>25130</v>
      </c>
      <c r="I65" s="81">
        <f>(Table2[[#This Row],[Total_Followers]]-F62)/F62</f>
        <v>2.5525221936925009</v>
      </c>
      <c r="J65" s="9" t="str" cm="1">
        <f t="array" ref="J65">IFERROR(INDEX(Table3[[#All],[Campaign_Name]],MATCH(1,(Table2[[#This Row],[Week_Start_Date]]&gt;=Table3[[#All],[Start_Date]])*(Table2[[#This Row],[Week_Start_Date]]&lt;=Table3[[#All],[End_Date]]),0)),"No Campign")</f>
        <v>No Campign</v>
      </c>
      <c r="K65" s="109">
        <f>Table2[[#This Row],[Engagement_Rate]]/Table2[[#This Row],[Ad_Spend]]</f>
        <v>1.7986470354158375E-4</v>
      </c>
    </row>
    <row r="66" spans="1:11">
      <c r="A66" s="10">
        <v>45593</v>
      </c>
      <c r="B66" s="1" t="s">
        <v>22</v>
      </c>
      <c r="C66" s="9">
        <v>746</v>
      </c>
      <c r="D66" s="9">
        <v>282</v>
      </c>
      <c r="E66" s="9">
        <f>Table2[[#This Row],[New_Followers]]-Table2[[#This Row],[Unfollows]]</f>
        <v>464</v>
      </c>
      <c r="F66" s="9">
        <v>293894</v>
      </c>
      <c r="G66" s="9">
        <v>5.42</v>
      </c>
      <c r="H66" s="73">
        <v>25537</v>
      </c>
      <c r="I66" s="81">
        <f>(Table2[[#This Row],[Total_Followers]]-F63)/F63</f>
        <v>1.081977316680953</v>
      </c>
      <c r="J66" s="9" t="str" cm="1">
        <f t="array" ref="J66">IFERROR(INDEX(Table3[[#All],[Campaign_Name]],MATCH(1,(Table2[[#This Row],[Week_Start_Date]]&gt;=Table3[[#All],[Start_Date]])*(Table2[[#This Row],[Week_Start_Date]]&lt;=Table3[[#All],[End_Date]]),0)),"No Campign")</f>
        <v>No Campign</v>
      </c>
      <c r="K66" s="109">
        <f>Table2[[#This Row],[Engagement_Rate]]/Table2[[#This Row],[Ad_Spend]]</f>
        <v>2.1224106198848729E-4</v>
      </c>
    </row>
    <row r="67" spans="1:11">
      <c r="A67" s="10">
        <v>45593</v>
      </c>
      <c r="B67" s="1" t="s">
        <v>28</v>
      </c>
      <c r="C67" s="9">
        <v>759</v>
      </c>
      <c r="D67" s="9">
        <v>216</v>
      </c>
      <c r="E67" s="9">
        <f>Table2[[#This Row],[New_Followers]]-Table2[[#This Row],[Unfollows]]</f>
        <v>543</v>
      </c>
      <c r="F67" s="9">
        <v>147656</v>
      </c>
      <c r="G67" s="9">
        <v>4.08</v>
      </c>
      <c r="H67" s="73">
        <v>24943</v>
      </c>
      <c r="I67" s="81">
        <f>(Table2[[#This Row],[Total_Followers]]-F64)/F64</f>
        <v>-1.5075108727554097E-2</v>
      </c>
      <c r="J67" s="9" t="str" cm="1">
        <f t="array" ref="J67">IFERROR(INDEX(Table3[[#All],[Campaign_Name]],MATCH(1,(Table2[[#This Row],[Week_Start_Date]]&gt;=Table3[[#All],[Start_Date]])*(Table2[[#This Row],[Week_Start_Date]]&lt;=Table3[[#All],[End_Date]]),0)),"No Campign")</f>
        <v>No Campign</v>
      </c>
      <c r="K67" s="109">
        <f>Table2[[#This Row],[Engagement_Rate]]/Table2[[#This Row],[Ad_Spend]]</f>
        <v>1.6357294631760415E-4</v>
      </c>
    </row>
    <row r="68" spans="1:11">
      <c r="A68" s="10">
        <v>45600</v>
      </c>
      <c r="B68" s="1" t="s">
        <v>13</v>
      </c>
      <c r="C68" s="9">
        <v>1437</v>
      </c>
      <c r="D68" s="9">
        <v>235</v>
      </c>
      <c r="E68" s="9">
        <f>Table2[[#This Row],[New_Followers]]-Table2[[#This Row],[Unfollows]]</f>
        <v>1202</v>
      </c>
      <c r="F68" s="9">
        <v>326791</v>
      </c>
      <c r="G68" s="9">
        <v>4.0599999999999996</v>
      </c>
      <c r="H68" s="73">
        <v>14563</v>
      </c>
      <c r="I68" s="81">
        <f>(Table2[[#This Row],[Total_Followers]]-F65)/F65</f>
        <v>5.9176814149539916E-2</v>
      </c>
      <c r="J68" s="9" t="str" cm="1">
        <f t="array" ref="J68">IFERROR(INDEX(Table3[[#All],[Campaign_Name]],MATCH(1,(Table2[[#This Row],[Week_Start_Date]]&gt;=Table3[[#All],[Start_Date]])*(Table2[[#This Row],[Week_Start_Date]]&lt;=Table3[[#All],[End_Date]]),0)),"No Campign")</f>
        <v>No Campign</v>
      </c>
      <c r="K68" s="109">
        <f>Table2[[#This Row],[Engagement_Rate]]/Table2[[#This Row],[Ad_Spend]]</f>
        <v>2.7878871111721484E-4</v>
      </c>
    </row>
    <row r="69" spans="1:11">
      <c r="A69" s="10">
        <v>45600</v>
      </c>
      <c r="B69" s="1" t="s">
        <v>22</v>
      </c>
      <c r="C69" s="9">
        <v>1463</v>
      </c>
      <c r="D69" s="9">
        <v>73</v>
      </c>
      <c r="E69" s="9">
        <f>Table2[[#This Row],[New_Followers]]-Table2[[#This Row],[Unfollows]]</f>
        <v>1390</v>
      </c>
      <c r="F69" s="9">
        <v>348877</v>
      </c>
      <c r="G69" s="9">
        <v>9.91</v>
      </c>
      <c r="H69" s="73">
        <v>26273</v>
      </c>
      <c r="I69" s="81">
        <f>(Table2[[#This Row],[Total_Followers]]-F66)/F66</f>
        <v>0.18708445902264081</v>
      </c>
      <c r="J69" s="9" t="str" cm="1">
        <f t="array" ref="J69">IFERROR(INDEX(Table3[[#All],[Campaign_Name]],MATCH(1,(Table2[[#This Row],[Week_Start_Date]]&gt;=Table3[[#All],[Start_Date]])*(Table2[[#This Row],[Week_Start_Date]]&lt;=Table3[[#All],[End_Date]]),0)),"No Campign")</f>
        <v>No Campign</v>
      </c>
      <c r="K69" s="109">
        <f>Table2[[#This Row],[Engagement_Rate]]/Table2[[#This Row],[Ad_Spend]]</f>
        <v>3.7719331633235642E-4</v>
      </c>
    </row>
    <row r="70" spans="1:11">
      <c r="A70" s="10">
        <v>45600</v>
      </c>
      <c r="B70" s="1" t="s">
        <v>28</v>
      </c>
      <c r="C70" s="9">
        <v>1208</v>
      </c>
      <c r="D70" s="9">
        <v>224</v>
      </c>
      <c r="E70" s="9">
        <f>Table2[[#This Row],[New_Followers]]-Table2[[#This Row],[Unfollows]]</f>
        <v>984</v>
      </c>
      <c r="F70" s="9">
        <v>122730</v>
      </c>
      <c r="G70" s="9">
        <v>8.7200000000000006</v>
      </c>
      <c r="H70" s="73">
        <v>10858</v>
      </c>
      <c r="I70" s="81">
        <f>(Table2[[#This Row],[Total_Followers]]-F67)/F67</f>
        <v>-0.16881129110906432</v>
      </c>
      <c r="J70" s="9" t="str" cm="1">
        <f t="array" ref="J70">IFERROR(INDEX(Table3[[#All],[Campaign_Name]],MATCH(1,(Table2[[#This Row],[Week_Start_Date]]&gt;=Table3[[#All],[Start_Date]])*(Table2[[#This Row],[Week_Start_Date]]&lt;=Table3[[#All],[End_Date]]),0)),"No Campign")</f>
        <v>No Campign</v>
      </c>
      <c r="K70" s="109">
        <f>Table2[[#This Row],[Engagement_Rate]]/Table2[[#This Row],[Ad_Spend]]</f>
        <v>8.0309449254006274E-4</v>
      </c>
    </row>
    <row r="71" spans="1:11">
      <c r="A71" s="10">
        <v>45607</v>
      </c>
      <c r="B71" s="1" t="s">
        <v>13</v>
      </c>
      <c r="C71" s="9">
        <v>1391</v>
      </c>
      <c r="D71" s="9">
        <v>187</v>
      </c>
      <c r="E71" s="9">
        <f>Table2[[#This Row],[New_Followers]]-Table2[[#This Row],[Unfollows]]</f>
        <v>1204</v>
      </c>
      <c r="F71" s="9">
        <v>306508</v>
      </c>
      <c r="G71" s="9">
        <v>8.3800000000000008</v>
      </c>
      <c r="H71" s="73">
        <v>25038</v>
      </c>
      <c r="I71" s="81">
        <f>(Table2[[#This Row],[Total_Followers]]-F68)/F68</f>
        <v>-6.2067192792947173E-2</v>
      </c>
      <c r="J71" s="9" t="str" cm="1">
        <f t="array" ref="J71">IFERROR(INDEX(Table3[[#All],[Campaign_Name]],MATCH(1,(Table2[[#This Row],[Week_Start_Date]]&gt;=Table3[[#All],[Start_Date]])*(Table2[[#This Row],[Week_Start_Date]]&lt;=Table3[[#All],[End_Date]]),0)),"No Campign")</f>
        <v>No Campign</v>
      </c>
      <c r="K71" s="109">
        <f>Table2[[#This Row],[Engagement_Rate]]/Table2[[#This Row],[Ad_Spend]]</f>
        <v>3.3469126927070857E-4</v>
      </c>
    </row>
    <row r="72" spans="1:11">
      <c r="A72" s="10">
        <v>45607</v>
      </c>
      <c r="B72" s="1" t="s">
        <v>22</v>
      </c>
      <c r="C72" s="9">
        <v>655</v>
      </c>
      <c r="D72" s="9">
        <v>123</v>
      </c>
      <c r="E72" s="9">
        <f>Table2[[#This Row],[New_Followers]]-Table2[[#This Row],[Unfollows]]</f>
        <v>532</v>
      </c>
      <c r="F72" s="9">
        <v>202472</v>
      </c>
      <c r="G72" s="9">
        <v>7.56</v>
      </c>
      <c r="H72" s="73">
        <v>9092</v>
      </c>
      <c r="I72" s="81">
        <f>(Table2[[#This Row],[Total_Followers]]-F69)/F69</f>
        <v>-0.41964646565981706</v>
      </c>
      <c r="J72" s="9" t="str" cm="1">
        <f t="array" ref="J72">IFERROR(INDEX(Table3[[#All],[Campaign_Name]],MATCH(1,(Table2[[#This Row],[Week_Start_Date]]&gt;=Table3[[#All],[Start_Date]])*(Table2[[#This Row],[Week_Start_Date]]&lt;=Table3[[#All],[End_Date]]),0)),"No Campign")</f>
        <v>No Campign</v>
      </c>
      <c r="K72" s="109">
        <f>Table2[[#This Row],[Engagement_Rate]]/Table2[[#This Row],[Ad_Spend]]</f>
        <v>8.3150021997360313E-4</v>
      </c>
    </row>
    <row r="73" spans="1:11">
      <c r="A73" s="10">
        <v>45607</v>
      </c>
      <c r="B73" s="1" t="s">
        <v>28</v>
      </c>
      <c r="C73" s="9">
        <v>1148</v>
      </c>
      <c r="D73" s="9">
        <v>90</v>
      </c>
      <c r="E73" s="9">
        <f>Table2[[#This Row],[New_Followers]]-Table2[[#This Row],[Unfollows]]</f>
        <v>1058</v>
      </c>
      <c r="F73" s="9">
        <v>227249</v>
      </c>
      <c r="G73" s="9">
        <v>7.24</v>
      </c>
      <c r="H73" s="73">
        <v>17662</v>
      </c>
      <c r="I73" s="81">
        <f>(Table2[[#This Row],[Total_Followers]]-F70)/F70</f>
        <v>0.85161737146581928</v>
      </c>
      <c r="J73" s="9" t="str" cm="1">
        <f t="array" ref="J73">IFERROR(INDEX(Table3[[#All],[Campaign_Name]],MATCH(1,(Table2[[#This Row],[Week_Start_Date]]&gt;=Table3[[#All],[Start_Date]])*(Table2[[#This Row],[Week_Start_Date]]&lt;=Table3[[#All],[End_Date]]),0)),"No Campign")</f>
        <v>No Campign</v>
      </c>
      <c r="K73" s="109">
        <f>Table2[[#This Row],[Engagement_Rate]]/Table2[[#This Row],[Ad_Spend]]</f>
        <v>4.0991960140414449E-4</v>
      </c>
    </row>
    <row r="74" spans="1:11">
      <c r="A74" s="10">
        <v>45614</v>
      </c>
      <c r="B74" s="1" t="s">
        <v>13</v>
      </c>
      <c r="C74" s="9">
        <v>946</v>
      </c>
      <c r="D74" s="9">
        <v>270</v>
      </c>
      <c r="E74" s="9">
        <f>Table2[[#This Row],[New_Followers]]-Table2[[#This Row],[Unfollows]]</f>
        <v>676</v>
      </c>
      <c r="F74" s="9">
        <v>246567</v>
      </c>
      <c r="G74" s="9">
        <v>4.53</v>
      </c>
      <c r="H74" s="73">
        <v>5924</v>
      </c>
      <c r="I74" s="81">
        <f>(Table2[[#This Row],[Total_Followers]]-F71)/F71</f>
        <v>-0.19556096415101726</v>
      </c>
      <c r="J74" s="9" t="str" cm="1">
        <f t="array" ref="J74">IFERROR(INDEX(Table3[[#All],[Campaign_Name]],MATCH(1,(Table2[[#This Row],[Week_Start_Date]]&gt;=Table3[[#All],[Start_Date]])*(Table2[[#This Row],[Week_Start_Date]]&lt;=Table3[[#All],[End_Date]]),0)),"No Campign")</f>
        <v>No Campign</v>
      </c>
      <c r="K74" s="109">
        <f>Table2[[#This Row],[Engagement_Rate]]/Table2[[#This Row],[Ad_Spend]]</f>
        <v>7.6468602295746123E-4</v>
      </c>
    </row>
    <row r="75" spans="1:11">
      <c r="A75" s="10">
        <v>45614</v>
      </c>
      <c r="B75" s="1" t="s">
        <v>22</v>
      </c>
      <c r="C75" s="9">
        <v>791</v>
      </c>
      <c r="D75" s="9">
        <v>214</v>
      </c>
      <c r="E75" s="9">
        <f>Table2[[#This Row],[New_Followers]]-Table2[[#This Row],[Unfollows]]</f>
        <v>577</v>
      </c>
      <c r="F75" s="9">
        <v>114738</v>
      </c>
      <c r="G75" s="9">
        <v>6.62</v>
      </c>
      <c r="H75" s="73">
        <v>25347</v>
      </c>
      <c r="I75" s="81">
        <f>(Table2[[#This Row],[Total_Followers]]-F72)/F72</f>
        <v>-0.43331423604251451</v>
      </c>
      <c r="J75" s="9" t="str" cm="1">
        <f t="array" ref="J75">IFERROR(INDEX(Table3[[#All],[Campaign_Name]],MATCH(1,(Table2[[#This Row],[Week_Start_Date]]&gt;=Table3[[#All],[Start_Date]])*(Table2[[#This Row],[Week_Start_Date]]&lt;=Table3[[#All],[End_Date]]),0)),"No Campign")</f>
        <v>No Campign</v>
      </c>
      <c r="K75" s="109">
        <f>Table2[[#This Row],[Engagement_Rate]]/Table2[[#This Row],[Ad_Spend]]</f>
        <v>2.6117489249220815E-4</v>
      </c>
    </row>
    <row r="76" spans="1:11">
      <c r="A76" s="10">
        <v>45614</v>
      </c>
      <c r="B76" s="1" t="s">
        <v>28</v>
      </c>
      <c r="C76" s="9">
        <v>793</v>
      </c>
      <c r="D76" s="9">
        <v>111</v>
      </c>
      <c r="E76" s="9">
        <f>Table2[[#This Row],[New_Followers]]-Table2[[#This Row],[Unfollows]]</f>
        <v>682</v>
      </c>
      <c r="F76" s="9">
        <v>333500</v>
      </c>
      <c r="G76" s="9">
        <v>6.36</v>
      </c>
      <c r="H76" s="73">
        <v>8910</v>
      </c>
      <c r="I76" s="81">
        <f>(Table2[[#This Row],[Total_Followers]]-F73)/F73</f>
        <v>0.46755321255539078</v>
      </c>
      <c r="J76" s="9" t="str" cm="1">
        <f t="array" ref="J76">IFERROR(INDEX(Table3[[#All],[Campaign_Name]],MATCH(1,(Table2[[#This Row],[Week_Start_Date]]&gt;=Table3[[#All],[Start_Date]])*(Table2[[#This Row],[Week_Start_Date]]&lt;=Table3[[#All],[End_Date]]),0)),"No Campign")</f>
        <v>No Campign</v>
      </c>
      <c r="K76" s="109">
        <f>Table2[[#This Row],[Engagement_Rate]]/Table2[[#This Row],[Ad_Spend]]</f>
        <v>7.1380471380471386E-4</v>
      </c>
    </row>
    <row r="77" spans="1:11">
      <c r="A77" s="10">
        <v>45621</v>
      </c>
      <c r="B77" s="1" t="s">
        <v>13</v>
      </c>
      <c r="C77" s="9">
        <v>663</v>
      </c>
      <c r="D77" s="9">
        <v>213</v>
      </c>
      <c r="E77" s="9">
        <f>Table2[[#This Row],[New_Followers]]-Table2[[#This Row],[Unfollows]]</f>
        <v>450</v>
      </c>
      <c r="F77" s="9">
        <v>352677</v>
      </c>
      <c r="G77" s="9">
        <v>9</v>
      </c>
      <c r="H77" s="73">
        <v>20438</v>
      </c>
      <c r="I77" s="81">
        <f>(Table2[[#This Row],[Total_Followers]]-F74)/F74</f>
        <v>0.43034956016011877</v>
      </c>
      <c r="J77" s="9" t="str" cm="1">
        <f t="array" ref="J77">IFERROR(INDEX(Table3[[#All],[Campaign_Name]],MATCH(1,(Table2[[#This Row],[Week_Start_Date]]&gt;=Table3[[#All],[Start_Date]])*(Table2[[#This Row],[Week_Start_Date]]&lt;=Table3[[#All],[End_Date]]),0)),"No Campign")</f>
        <v>No Campign</v>
      </c>
      <c r="K77" s="109">
        <f>Table2[[#This Row],[Engagement_Rate]]/Table2[[#This Row],[Ad_Spend]]</f>
        <v>4.4035619923671592E-4</v>
      </c>
    </row>
    <row r="78" spans="1:11">
      <c r="A78" s="10">
        <v>45621</v>
      </c>
      <c r="B78" s="1" t="s">
        <v>22</v>
      </c>
      <c r="C78" s="9">
        <v>954</v>
      </c>
      <c r="D78" s="9">
        <v>271</v>
      </c>
      <c r="E78" s="9">
        <f>Table2[[#This Row],[New_Followers]]-Table2[[#This Row],[Unfollows]]</f>
        <v>683</v>
      </c>
      <c r="F78" s="9">
        <v>160936</v>
      </c>
      <c r="G78" s="9">
        <v>8.83</v>
      </c>
      <c r="H78" s="73">
        <v>8760</v>
      </c>
      <c r="I78" s="81">
        <f>(Table2[[#This Row],[Total_Followers]]-F75)/F75</f>
        <v>0.40263905593613275</v>
      </c>
      <c r="J78" s="9" t="str" cm="1">
        <f t="array" ref="J78">IFERROR(INDEX(Table3[[#All],[Campaign_Name]],MATCH(1,(Table2[[#This Row],[Week_Start_Date]]&gt;=Table3[[#All],[Start_Date]])*(Table2[[#This Row],[Week_Start_Date]]&lt;=Table3[[#All],[End_Date]]),0)),"No Campign")</f>
        <v>No Campign</v>
      </c>
      <c r="K78" s="109">
        <f>Table2[[#This Row],[Engagement_Rate]]/Table2[[#This Row],[Ad_Spend]]</f>
        <v>1.0079908675799086E-3</v>
      </c>
    </row>
    <row r="79" spans="1:11">
      <c r="A79" s="10">
        <v>45621</v>
      </c>
      <c r="B79" s="1" t="s">
        <v>28</v>
      </c>
      <c r="C79" s="9">
        <v>1313</v>
      </c>
      <c r="D79" s="9">
        <v>159</v>
      </c>
      <c r="E79" s="9">
        <f>Table2[[#This Row],[New_Followers]]-Table2[[#This Row],[Unfollows]]</f>
        <v>1154</v>
      </c>
      <c r="F79" s="9">
        <v>197183</v>
      </c>
      <c r="G79" s="9">
        <v>9.7100000000000009</v>
      </c>
      <c r="H79" s="73">
        <v>6625</v>
      </c>
      <c r="I79" s="81">
        <f>(Table2[[#This Row],[Total_Followers]]-F76)/F76</f>
        <v>-0.40874662668665668</v>
      </c>
      <c r="J79" s="9" t="str" cm="1">
        <f t="array" ref="J79">IFERROR(INDEX(Table3[[#All],[Campaign_Name]],MATCH(1,(Table2[[#This Row],[Week_Start_Date]]&gt;=Table3[[#All],[Start_Date]])*(Table2[[#This Row],[Week_Start_Date]]&lt;=Table3[[#All],[End_Date]]),0)),"No Campign")</f>
        <v>No Campign</v>
      </c>
      <c r="K79" s="109">
        <f>Table2[[#This Row],[Engagement_Rate]]/Table2[[#This Row],[Ad_Spend]]</f>
        <v>1.4656603773584907E-3</v>
      </c>
    </row>
    <row r="80" spans="1:11">
      <c r="A80" s="10">
        <v>45628</v>
      </c>
      <c r="B80" s="1" t="s">
        <v>13</v>
      </c>
      <c r="C80" s="9">
        <v>895</v>
      </c>
      <c r="D80" s="9">
        <v>87</v>
      </c>
      <c r="E80" s="9">
        <f>Table2[[#This Row],[New_Followers]]-Table2[[#This Row],[Unfollows]]</f>
        <v>808</v>
      </c>
      <c r="F80" s="9">
        <v>171271</v>
      </c>
      <c r="G80" s="9">
        <v>6.68</v>
      </c>
      <c r="H80" s="73">
        <v>23329</v>
      </c>
      <c r="I80" s="81">
        <f>(Table2[[#This Row],[Total_Followers]]-F77)/F77</f>
        <v>-0.51436867161737232</v>
      </c>
      <c r="J80" s="9" t="str" cm="1">
        <f t="array" ref="J80">IFERROR(INDEX(Table3[[#All],[Campaign_Name]],MATCH(1,(Table2[[#This Row],[Week_Start_Date]]&gt;=Table3[[#All],[Start_Date]])*(Table2[[#This Row],[Week_Start_Date]]&lt;=Table3[[#All],[End_Date]]),0)),"No Campign")</f>
        <v>Wrapped2024</v>
      </c>
      <c r="K80" s="109">
        <f>Table2[[#This Row],[Engagement_Rate]]/Table2[[#This Row],[Ad_Spend]]</f>
        <v>2.8633889150842299E-4</v>
      </c>
    </row>
    <row r="81" spans="1:11">
      <c r="A81" s="10">
        <v>45628</v>
      </c>
      <c r="B81" s="1" t="s">
        <v>22</v>
      </c>
      <c r="C81" s="9">
        <v>1027</v>
      </c>
      <c r="D81" s="9">
        <v>156</v>
      </c>
      <c r="E81" s="9">
        <f>Table2[[#This Row],[New_Followers]]-Table2[[#This Row],[Unfollows]]</f>
        <v>871</v>
      </c>
      <c r="F81" s="9">
        <v>111293</v>
      </c>
      <c r="G81" s="9">
        <v>5.51</v>
      </c>
      <c r="H81" s="73">
        <v>7299</v>
      </c>
      <c r="I81" s="81">
        <f>(Table2[[#This Row],[Total_Followers]]-F78)/F78</f>
        <v>-0.30846423422975594</v>
      </c>
      <c r="J81" s="9" t="str" cm="1">
        <f t="array" ref="J81">IFERROR(INDEX(Table3[[#All],[Campaign_Name]],MATCH(1,(Table2[[#This Row],[Week_Start_Date]]&gt;=Table3[[#All],[Start_Date]])*(Table2[[#This Row],[Week_Start_Date]]&lt;=Table3[[#All],[End_Date]]),0)),"No Campign")</f>
        <v>Wrapped2024</v>
      </c>
      <c r="K81" s="109">
        <f>Table2[[#This Row],[Engagement_Rate]]/Table2[[#This Row],[Ad_Spend]]</f>
        <v>7.5489793122345526E-4</v>
      </c>
    </row>
    <row r="82" spans="1:11">
      <c r="A82" s="10">
        <v>45628</v>
      </c>
      <c r="B82" s="1" t="s">
        <v>28</v>
      </c>
      <c r="C82" s="9">
        <v>990</v>
      </c>
      <c r="D82" s="9">
        <v>286</v>
      </c>
      <c r="E82" s="9">
        <f>Table2[[#This Row],[New_Followers]]-Table2[[#This Row],[Unfollows]]</f>
        <v>704</v>
      </c>
      <c r="F82" s="9">
        <v>351493</v>
      </c>
      <c r="G82" s="9">
        <v>7.97</v>
      </c>
      <c r="H82" s="73">
        <v>14496</v>
      </c>
      <c r="I82" s="81">
        <f>(Table2[[#This Row],[Total_Followers]]-F79)/F79</f>
        <v>0.78257253414340988</v>
      </c>
      <c r="J82" s="9" t="str" cm="1">
        <f t="array" ref="J82">IFERROR(INDEX(Table3[[#All],[Campaign_Name]],MATCH(1,(Table2[[#This Row],[Week_Start_Date]]&gt;=Table3[[#All],[Start_Date]])*(Table2[[#This Row],[Week_Start_Date]]&lt;=Table3[[#All],[End_Date]]),0)),"No Campign")</f>
        <v>Wrapped2024</v>
      </c>
      <c r="K82" s="109">
        <f>Table2[[#This Row],[Engagement_Rate]]/Table2[[#This Row],[Ad_Spend]]</f>
        <v>5.4980684326710817E-4</v>
      </c>
    </row>
    <row r="83" spans="1:11">
      <c r="A83" s="10">
        <v>45635</v>
      </c>
      <c r="B83" s="1" t="s">
        <v>13</v>
      </c>
      <c r="C83" s="9">
        <v>875</v>
      </c>
      <c r="D83" s="9">
        <v>264</v>
      </c>
      <c r="E83" s="9">
        <f>Table2[[#This Row],[New_Followers]]-Table2[[#This Row],[Unfollows]]</f>
        <v>611</v>
      </c>
      <c r="F83" s="9">
        <v>345631</v>
      </c>
      <c r="G83" s="9">
        <v>9.18</v>
      </c>
      <c r="H83" s="73">
        <v>25703</v>
      </c>
      <c r="I83" s="81">
        <f>(Table2[[#This Row],[Total_Followers]]-F80)/F80</f>
        <v>1.0180357445218398</v>
      </c>
      <c r="J83" s="9" t="str" cm="1">
        <f t="array" ref="J83">IFERROR(INDEX(Table3[[#All],[Campaign_Name]],MATCH(1,(Table2[[#This Row],[Week_Start_Date]]&gt;=Table3[[#All],[Start_Date]])*(Table2[[#This Row],[Week_Start_Date]]&lt;=Table3[[#All],[End_Date]]),0)),"No Campign")</f>
        <v>Wrapped2024</v>
      </c>
      <c r="K83" s="109">
        <f>Table2[[#This Row],[Engagement_Rate]]/Table2[[#This Row],[Ad_Spend]]</f>
        <v>3.5715675213010155E-4</v>
      </c>
    </row>
    <row r="84" spans="1:11">
      <c r="A84" s="10">
        <v>45635</v>
      </c>
      <c r="B84" s="1" t="s">
        <v>22</v>
      </c>
      <c r="C84" s="9">
        <v>599</v>
      </c>
      <c r="D84" s="9">
        <v>194</v>
      </c>
      <c r="E84" s="9">
        <f>Table2[[#This Row],[New_Followers]]-Table2[[#This Row],[Unfollows]]</f>
        <v>405</v>
      </c>
      <c r="F84" s="9">
        <v>105622</v>
      </c>
      <c r="G84" s="9">
        <v>6.44</v>
      </c>
      <c r="H84" s="73">
        <v>15108</v>
      </c>
      <c r="I84" s="81">
        <f>(Table2[[#This Row],[Total_Followers]]-F81)/F81</f>
        <v>-5.0955585706198951E-2</v>
      </c>
      <c r="J84" s="9" t="str" cm="1">
        <f t="array" ref="J84">IFERROR(INDEX(Table3[[#All],[Campaign_Name]],MATCH(1,(Table2[[#This Row],[Week_Start_Date]]&gt;=Table3[[#All],[Start_Date]])*(Table2[[#This Row],[Week_Start_Date]]&lt;=Table3[[#All],[End_Date]]),0)),"No Campign")</f>
        <v>Wrapped2024</v>
      </c>
      <c r="K84" s="109">
        <f>Table2[[#This Row],[Engagement_Rate]]/Table2[[#This Row],[Ad_Spend]]</f>
        <v>4.2626423087106173E-4</v>
      </c>
    </row>
    <row r="85" spans="1:11">
      <c r="A85" s="10">
        <v>45635</v>
      </c>
      <c r="B85" s="1" t="s">
        <v>28</v>
      </c>
      <c r="C85" s="9">
        <v>630</v>
      </c>
      <c r="D85" s="9">
        <v>248</v>
      </c>
      <c r="E85" s="9">
        <f>Table2[[#This Row],[New_Followers]]-Table2[[#This Row],[Unfollows]]</f>
        <v>382</v>
      </c>
      <c r="F85" s="9">
        <v>119054</v>
      </c>
      <c r="G85" s="9">
        <v>5.0199999999999996</v>
      </c>
      <c r="H85" s="73">
        <v>18867</v>
      </c>
      <c r="I85" s="81">
        <f>(Table2[[#This Row],[Total_Followers]]-F82)/F82</f>
        <v>-0.66129055201668308</v>
      </c>
      <c r="J85" s="9" t="str" cm="1">
        <f t="array" ref="J85">IFERROR(INDEX(Table3[[#All],[Campaign_Name]],MATCH(1,(Table2[[#This Row],[Week_Start_Date]]&gt;=Table3[[#All],[Start_Date]])*(Table2[[#This Row],[Week_Start_Date]]&lt;=Table3[[#All],[End_Date]]),0)),"No Campign")</f>
        <v>Wrapped2024</v>
      </c>
      <c r="K85" s="109">
        <f>Table2[[#This Row],[Engagement_Rate]]/Table2[[#This Row],[Ad_Spend]]</f>
        <v>2.6607303757884132E-4</v>
      </c>
    </row>
    <row r="86" spans="1:11">
      <c r="A86" s="10">
        <v>45642</v>
      </c>
      <c r="B86" s="1" t="s">
        <v>13</v>
      </c>
      <c r="C86" s="9">
        <v>1350</v>
      </c>
      <c r="D86" s="9">
        <v>233</v>
      </c>
      <c r="E86" s="9">
        <f>Table2[[#This Row],[New_Followers]]-Table2[[#This Row],[Unfollows]]</f>
        <v>1117</v>
      </c>
      <c r="F86" s="9">
        <v>171670</v>
      </c>
      <c r="G86" s="9">
        <v>4.53</v>
      </c>
      <c r="H86" s="73">
        <v>17574</v>
      </c>
      <c r="I86" s="81">
        <f>(Table2[[#This Row],[Total_Followers]]-F83)/F83</f>
        <v>-0.50331422817976401</v>
      </c>
      <c r="J86" s="9" t="str" cm="1">
        <f t="array" ref="J86">IFERROR(INDEX(Table3[[#All],[Campaign_Name]],MATCH(1,(Table2[[#This Row],[Week_Start_Date]]&gt;=Table3[[#All],[Start_Date]])*(Table2[[#This Row],[Week_Start_Date]]&lt;=Table3[[#All],[End_Date]]),0)),"No Campign")</f>
        <v>Wrapped2024</v>
      </c>
      <c r="K86" s="109">
        <f>Table2[[#This Row],[Engagement_Rate]]/Table2[[#This Row],[Ad_Spend]]</f>
        <v>2.5776715602594743E-4</v>
      </c>
    </row>
    <row r="87" spans="1:11">
      <c r="A87" s="10">
        <v>45642</v>
      </c>
      <c r="B87" s="1" t="s">
        <v>22</v>
      </c>
      <c r="C87" s="9">
        <v>632</v>
      </c>
      <c r="D87" s="9">
        <v>155</v>
      </c>
      <c r="E87" s="9">
        <f>Table2[[#This Row],[New_Followers]]-Table2[[#This Row],[Unfollows]]</f>
        <v>477</v>
      </c>
      <c r="F87" s="9">
        <v>170432</v>
      </c>
      <c r="G87" s="9">
        <v>9.17</v>
      </c>
      <c r="H87" s="73">
        <v>12840</v>
      </c>
      <c r="I87" s="81">
        <f>(Table2[[#This Row],[Total_Followers]]-F84)/F84</f>
        <v>0.6136032266005188</v>
      </c>
      <c r="J87" s="9" t="str" cm="1">
        <f t="array" ref="J87">IFERROR(INDEX(Table3[[#All],[Campaign_Name]],MATCH(1,(Table2[[#This Row],[Week_Start_Date]]&gt;=Table3[[#All],[Start_Date]])*(Table2[[#This Row],[Week_Start_Date]]&lt;=Table3[[#All],[End_Date]]),0)),"No Campign")</f>
        <v>Wrapped2024</v>
      </c>
      <c r="K87" s="109">
        <f>Table2[[#This Row],[Engagement_Rate]]/Table2[[#This Row],[Ad_Spend]]</f>
        <v>7.1417445482866045E-4</v>
      </c>
    </row>
    <row r="88" spans="1:11">
      <c r="A88" s="10">
        <v>45642</v>
      </c>
      <c r="B88" s="1" t="s">
        <v>28</v>
      </c>
      <c r="C88" s="9">
        <v>1182</v>
      </c>
      <c r="D88" s="9">
        <v>83</v>
      </c>
      <c r="E88" s="9">
        <f>Table2[[#This Row],[New_Followers]]-Table2[[#This Row],[Unfollows]]</f>
        <v>1099</v>
      </c>
      <c r="F88" s="9">
        <v>140300</v>
      </c>
      <c r="G88" s="9">
        <v>3.27</v>
      </c>
      <c r="H88" s="73">
        <v>21079</v>
      </c>
      <c r="I88" s="81">
        <f>(Table2[[#This Row],[Total_Followers]]-F85)/F85</f>
        <v>0.17845683471365933</v>
      </c>
      <c r="J88" s="9" t="str" cm="1">
        <f t="array" ref="J88">IFERROR(INDEX(Table3[[#All],[Campaign_Name]],MATCH(1,(Table2[[#This Row],[Week_Start_Date]]&gt;=Table3[[#All],[Start_Date]])*(Table2[[#This Row],[Week_Start_Date]]&lt;=Table3[[#All],[End_Date]]),0)),"No Campign")</f>
        <v>Wrapped2024</v>
      </c>
      <c r="K88" s="109">
        <f>Table2[[#This Row],[Engagement_Rate]]/Table2[[#This Row],[Ad_Spend]]</f>
        <v>1.5513069879975332E-4</v>
      </c>
    </row>
    <row r="89" spans="1:11">
      <c r="A89" s="10">
        <v>45649</v>
      </c>
      <c r="B89" s="1" t="s">
        <v>13</v>
      </c>
      <c r="C89" s="9">
        <v>661</v>
      </c>
      <c r="D89" s="9">
        <v>94</v>
      </c>
      <c r="E89" s="9">
        <f>Table2[[#This Row],[New_Followers]]-Table2[[#This Row],[Unfollows]]</f>
        <v>567</v>
      </c>
      <c r="F89" s="9">
        <v>116538</v>
      </c>
      <c r="G89" s="9">
        <v>5.31</v>
      </c>
      <c r="H89" s="73">
        <v>23486</v>
      </c>
      <c r="I89" s="81">
        <f>(Table2[[#This Row],[Total_Followers]]-F86)/F86</f>
        <v>-0.32115104561076485</v>
      </c>
      <c r="J89" s="9" t="str" cm="1">
        <f t="array" ref="J89">IFERROR(INDEX(Table3[[#All],[Campaign_Name]],MATCH(1,(Table2[[#This Row],[Week_Start_Date]]&gt;=Table3[[#All],[Start_Date]])*(Table2[[#This Row],[Week_Start_Date]]&lt;=Table3[[#All],[End_Date]]),0)),"No Campign")</f>
        <v>Wrapped2024</v>
      </c>
      <c r="K89" s="109">
        <f>Table2[[#This Row],[Engagement_Rate]]/Table2[[#This Row],[Ad_Spend]]</f>
        <v>2.2609213999829684E-4</v>
      </c>
    </row>
    <row r="90" spans="1:11">
      <c r="A90" s="10">
        <v>45649</v>
      </c>
      <c r="B90" s="1" t="s">
        <v>22</v>
      </c>
      <c r="C90" s="9">
        <v>1360</v>
      </c>
      <c r="D90" s="9">
        <v>227</v>
      </c>
      <c r="E90" s="9">
        <f>Table2[[#This Row],[New_Followers]]-Table2[[#This Row],[Unfollows]]</f>
        <v>1133</v>
      </c>
      <c r="F90" s="9">
        <v>176902</v>
      </c>
      <c r="G90" s="9">
        <v>6.03</v>
      </c>
      <c r="H90" s="73">
        <v>5960</v>
      </c>
      <c r="I90" s="81">
        <f>(Table2[[#This Row],[Total_Followers]]-F87)/F87</f>
        <v>3.7962354487420205E-2</v>
      </c>
      <c r="J90" s="9" t="str" cm="1">
        <f t="array" ref="J90">IFERROR(INDEX(Table3[[#All],[Campaign_Name]],MATCH(1,(Table2[[#This Row],[Week_Start_Date]]&gt;=Table3[[#All],[Start_Date]])*(Table2[[#This Row],[Week_Start_Date]]&lt;=Table3[[#All],[End_Date]]),0)),"No Campign")</f>
        <v>Wrapped2024</v>
      </c>
      <c r="K90" s="109">
        <f>Table2[[#This Row],[Engagement_Rate]]/Table2[[#This Row],[Ad_Spend]]</f>
        <v>1.011744966442953E-3</v>
      </c>
    </row>
    <row r="91" spans="1:11">
      <c r="A91" s="10">
        <v>45649</v>
      </c>
      <c r="B91" s="1" t="s">
        <v>28</v>
      </c>
      <c r="C91" s="9">
        <v>935</v>
      </c>
      <c r="D91" s="9">
        <v>85</v>
      </c>
      <c r="E91" s="9">
        <f>Table2[[#This Row],[New_Followers]]-Table2[[#This Row],[Unfollows]]</f>
        <v>850</v>
      </c>
      <c r="F91" s="9">
        <v>326821</v>
      </c>
      <c r="G91" s="9">
        <v>8.89</v>
      </c>
      <c r="H91" s="73">
        <v>13301</v>
      </c>
      <c r="I91" s="81">
        <f>(Table2[[#This Row],[Total_Followers]]-F88)/F88</f>
        <v>1.3294440484675696</v>
      </c>
      <c r="J91" s="9" t="str" cm="1">
        <f t="array" ref="J91">IFERROR(INDEX(Table3[[#All],[Campaign_Name]],MATCH(1,(Table2[[#This Row],[Week_Start_Date]]&gt;=Table3[[#All],[Start_Date]])*(Table2[[#This Row],[Week_Start_Date]]&lt;=Table3[[#All],[End_Date]]),0)),"No Campign")</f>
        <v>Wrapped2024</v>
      </c>
      <c r="K91" s="109">
        <f>Table2[[#This Row],[Engagement_Rate]]/Table2[[#This Row],[Ad_Spend]]</f>
        <v>6.6837079918803102E-4</v>
      </c>
    </row>
    <row r="92" spans="1:11">
      <c r="A92" s="10">
        <v>45656</v>
      </c>
      <c r="B92" s="1" t="s">
        <v>13</v>
      </c>
      <c r="C92" s="9">
        <v>664</v>
      </c>
      <c r="D92" s="9">
        <v>251</v>
      </c>
      <c r="E92" s="9">
        <f>Table2[[#This Row],[New_Followers]]-Table2[[#This Row],[Unfollows]]</f>
        <v>413</v>
      </c>
      <c r="F92" s="9">
        <v>240598</v>
      </c>
      <c r="G92" s="9">
        <v>4.79</v>
      </c>
      <c r="H92" s="73">
        <v>10563</v>
      </c>
      <c r="I92" s="81">
        <f>(Table2[[#This Row],[Total_Followers]]-F89)/F89</f>
        <v>1.0645454701470765</v>
      </c>
      <c r="J92" s="9" t="str" cm="1">
        <f t="array" ref="J92">IFERROR(INDEX(Table3[[#All],[Campaign_Name]],MATCH(1,(Table2[[#This Row],[Week_Start_Date]]&gt;=Table3[[#All],[Start_Date]])*(Table2[[#This Row],[Week_Start_Date]]&lt;=Table3[[#All],[End_Date]]),0)),"No Campign")</f>
        <v>Wrapped2024</v>
      </c>
      <c r="K92" s="109">
        <f>Table2[[#This Row],[Engagement_Rate]]/Table2[[#This Row],[Ad_Spend]]</f>
        <v>4.5346965824103001E-4</v>
      </c>
    </row>
    <row r="93" spans="1:11">
      <c r="A93" s="10">
        <v>45656</v>
      </c>
      <c r="B93" s="1" t="s">
        <v>22</v>
      </c>
      <c r="C93" s="9">
        <v>1490</v>
      </c>
      <c r="D93" s="9">
        <v>103</v>
      </c>
      <c r="E93" s="9">
        <f>Table2[[#This Row],[New_Followers]]-Table2[[#This Row],[Unfollows]]</f>
        <v>1387</v>
      </c>
      <c r="F93" s="9">
        <v>373274</v>
      </c>
      <c r="G93" s="9">
        <v>4.8</v>
      </c>
      <c r="H93" s="73">
        <v>19949</v>
      </c>
      <c r="I93" s="81">
        <f>(Table2[[#This Row],[Total_Followers]]-F90)/F90</f>
        <v>1.1100609376943167</v>
      </c>
      <c r="J93" s="9" t="str" cm="1">
        <f t="array" ref="J93">IFERROR(INDEX(Table3[[#All],[Campaign_Name]],MATCH(1,(Table2[[#This Row],[Week_Start_Date]]&gt;=Table3[[#All],[Start_Date]])*(Table2[[#This Row],[Week_Start_Date]]&lt;=Table3[[#All],[End_Date]]),0)),"No Campign")</f>
        <v>Wrapped2024</v>
      </c>
      <c r="K93" s="109">
        <f>Table2[[#This Row],[Engagement_Rate]]/Table2[[#This Row],[Ad_Spend]]</f>
        <v>2.4061356458970375E-4</v>
      </c>
    </row>
    <row r="94" spans="1:11">
      <c r="A94" s="10">
        <v>45656</v>
      </c>
      <c r="B94" s="1" t="s">
        <v>28</v>
      </c>
      <c r="C94" s="9">
        <v>601</v>
      </c>
      <c r="D94" s="9">
        <v>64</v>
      </c>
      <c r="E94" s="9">
        <f>Table2[[#This Row],[New_Followers]]-Table2[[#This Row],[Unfollows]]</f>
        <v>537</v>
      </c>
      <c r="F94" s="9">
        <v>123272</v>
      </c>
      <c r="G94" s="9">
        <v>4.07</v>
      </c>
      <c r="H94" s="73">
        <v>14273</v>
      </c>
      <c r="I94" s="81">
        <f>(Table2[[#This Row],[Total_Followers]]-F91)/F91</f>
        <v>-0.62281493539276855</v>
      </c>
      <c r="J94" s="9" t="str" cm="1">
        <f t="array" ref="J94">IFERROR(INDEX(Table3[[#All],[Campaign_Name]],MATCH(1,(Table2[[#This Row],[Week_Start_Date]]&gt;=Table3[[#All],[Start_Date]])*(Table2[[#This Row],[Week_Start_Date]]&lt;=Table3[[#All],[End_Date]]),0)),"No Campign")</f>
        <v>Wrapped2024</v>
      </c>
      <c r="K94" s="109">
        <f>Table2[[#This Row],[Engagement_Rate]]/Table2[[#This Row],[Ad_Spend]]</f>
        <v>2.8515378687031458E-4</v>
      </c>
    </row>
    <row r="95" spans="1:11">
      <c r="A95" s="10">
        <v>45663</v>
      </c>
      <c r="B95" s="1" t="s">
        <v>13</v>
      </c>
      <c r="C95" s="9">
        <v>613</v>
      </c>
      <c r="D95" s="9">
        <v>170</v>
      </c>
      <c r="E95" s="9">
        <f>Table2[[#This Row],[New_Followers]]-Table2[[#This Row],[Unfollows]]</f>
        <v>443</v>
      </c>
      <c r="F95" s="9">
        <v>139266</v>
      </c>
      <c r="G95" s="9">
        <v>6.06</v>
      </c>
      <c r="H95" s="73">
        <v>9247</v>
      </c>
      <c r="I95" s="81">
        <f>(Table2[[#This Row],[Total_Followers]]-F92)/F92</f>
        <v>-0.42116725824819823</v>
      </c>
      <c r="J95" s="9" t="str" cm="1">
        <f t="array" ref="J95">IFERROR(INDEX(Table3[[#All],[Campaign_Name]],MATCH(1,(Table2[[#This Row],[Week_Start_Date]]&gt;=Table3[[#All],[Start_Date]])*(Table2[[#This Row],[Week_Start_Date]]&lt;=Table3[[#All],[End_Date]]),0)),"No Campign")</f>
        <v>No Campign</v>
      </c>
      <c r="K95" s="109">
        <f>Table2[[#This Row],[Engagement_Rate]]/Table2[[#This Row],[Ad_Spend]]</f>
        <v>6.5534768032875527E-4</v>
      </c>
    </row>
    <row r="96" spans="1:11">
      <c r="A96" s="10">
        <v>45663</v>
      </c>
      <c r="B96" s="1" t="s">
        <v>22</v>
      </c>
      <c r="C96" s="9">
        <v>1340</v>
      </c>
      <c r="D96" s="9">
        <v>57</v>
      </c>
      <c r="E96" s="9">
        <f>Table2[[#This Row],[New_Followers]]-Table2[[#This Row],[Unfollows]]</f>
        <v>1283</v>
      </c>
      <c r="F96" s="9">
        <v>155927</v>
      </c>
      <c r="G96" s="9">
        <v>7.79</v>
      </c>
      <c r="H96" s="73">
        <v>11972</v>
      </c>
      <c r="I96" s="81">
        <f>(Table2[[#This Row],[Total_Followers]]-F93)/F93</f>
        <v>-0.58227200394348388</v>
      </c>
      <c r="J96" s="9" t="str" cm="1">
        <f t="array" ref="J96">IFERROR(INDEX(Table3[[#All],[Campaign_Name]],MATCH(1,(Table2[[#This Row],[Week_Start_Date]]&gt;=Table3[[#All],[Start_Date]])*(Table2[[#This Row],[Week_Start_Date]]&lt;=Table3[[#All],[End_Date]]),0)),"No Campign")</f>
        <v>No Campign</v>
      </c>
      <c r="K96" s="109">
        <f>Table2[[#This Row],[Engagement_Rate]]/Table2[[#This Row],[Ad_Spend]]</f>
        <v>6.5068493150684931E-4</v>
      </c>
    </row>
    <row r="97" spans="1:11">
      <c r="A97" s="10">
        <v>45663</v>
      </c>
      <c r="B97" s="1" t="s">
        <v>28</v>
      </c>
      <c r="C97" s="9">
        <v>953</v>
      </c>
      <c r="D97" s="9">
        <v>228</v>
      </c>
      <c r="E97" s="9">
        <f>Table2[[#This Row],[New_Followers]]-Table2[[#This Row],[Unfollows]]</f>
        <v>725</v>
      </c>
      <c r="F97" s="9">
        <v>258398</v>
      </c>
      <c r="G97" s="9">
        <v>9.0500000000000007</v>
      </c>
      <c r="H97" s="73">
        <v>13314</v>
      </c>
      <c r="I97" s="81">
        <f>(Table2[[#This Row],[Total_Followers]]-F94)/F94</f>
        <v>1.0961613342851579</v>
      </c>
      <c r="J97" s="9" t="str" cm="1">
        <f t="array" ref="J97">IFERROR(INDEX(Table3[[#All],[Campaign_Name]],MATCH(1,(Table2[[#This Row],[Week_Start_Date]]&gt;=Table3[[#All],[Start_Date]])*(Table2[[#This Row],[Week_Start_Date]]&lt;=Table3[[#All],[End_Date]]),0)),"No Campign")</f>
        <v>No Campign</v>
      </c>
      <c r="K97" s="109">
        <f>Table2[[#This Row],[Engagement_Rate]]/Table2[[#This Row],[Ad_Spend]]</f>
        <v>6.7973561664413408E-4</v>
      </c>
    </row>
    <row r="98" spans="1:11">
      <c r="A98" s="10">
        <v>45670</v>
      </c>
      <c r="B98" s="1" t="s">
        <v>13</v>
      </c>
      <c r="C98" s="9">
        <v>532</v>
      </c>
      <c r="D98" s="9">
        <v>65</v>
      </c>
      <c r="E98" s="9">
        <f>Table2[[#This Row],[New_Followers]]-Table2[[#This Row],[Unfollows]]</f>
        <v>467</v>
      </c>
      <c r="F98" s="9">
        <v>338561</v>
      </c>
      <c r="G98" s="9">
        <v>3.5</v>
      </c>
      <c r="H98" s="73">
        <v>14749</v>
      </c>
      <c r="I98" s="81">
        <f>(Table2[[#This Row],[Total_Followers]]-F95)/F95</f>
        <v>1.4310384444157225</v>
      </c>
      <c r="J98" s="9" t="str" cm="1">
        <f t="array" ref="J98">IFERROR(INDEX(Table3[[#All],[Campaign_Name]],MATCH(1,(Table2[[#This Row],[Week_Start_Date]]&gt;=Table3[[#All],[Start_Date]])*(Table2[[#This Row],[Week_Start_Date]]&lt;=Table3[[#All],[End_Date]]),0)),"No Campign")</f>
        <v>ChillVibes</v>
      </c>
      <c r="K98" s="109">
        <f>Table2[[#This Row],[Engagement_Rate]]/Table2[[#This Row],[Ad_Spend]]</f>
        <v>2.3730422401518748E-4</v>
      </c>
    </row>
    <row r="99" spans="1:11">
      <c r="A99" s="10">
        <v>45670</v>
      </c>
      <c r="B99" s="1" t="s">
        <v>22</v>
      </c>
      <c r="C99" s="9">
        <v>1414</v>
      </c>
      <c r="D99" s="9">
        <v>60</v>
      </c>
      <c r="E99" s="9">
        <f>Table2[[#This Row],[New_Followers]]-Table2[[#This Row],[Unfollows]]</f>
        <v>1354</v>
      </c>
      <c r="F99" s="9">
        <v>341856</v>
      </c>
      <c r="G99" s="9">
        <v>8.76</v>
      </c>
      <c r="H99" s="73">
        <v>6868</v>
      </c>
      <c r="I99" s="81">
        <f>(Table2[[#This Row],[Total_Followers]]-F96)/F96</f>
        <v>1.1924105510912157</v>
      </c>
      <c r="J99" s="9" t="str" cm="1">
        <f t="array" ref="J99">IFERROR(INDEX(Table3[[#All],[Campaign_Name]],MATCH(1,(Table2[[#This Row],[Week_Start_Date]]&gt;=Table3[[#All],[Start_Date]])*(Table2[[#This Row],[Week_Start_Date]]&lt;=Table3[[#All],[End_Date]]),0)),"No Campign")</f>
        <v>ChillVibes</v>
      </c>
      <c r="K99" s="109">
        <f>Table2[[#This Row],[Engagement_Rate]]/Table2[[#This Row],[Ad_Spend]]</f>
        <v>1.2754804892253931E-3</v>
      </c>
    </row>
    <row r="100" spans="1:11">
      <c r="A100" s="10">
        <v>45670</v>
      </c>
      <c r="B100" s="1" t="s">
        <v>28</v>
      </c>
      <c r="C100" s="9">
        <v>685</v>
      </c>
      <c r="D100" s="9">
        <v>165</v>
      </c>
      <c r="E100" s="9">
        <f>Table2[[#This Row],[New_Followers]]-Table2[[#This Row],[Unfollows]]</f>
        <v>520</v>
      </c>
      <c r="F100" s="9">
        <v>175860</v>
      </c>
      <c r="G100" s="9">
        <v>6.26</v>
      </c>
      <c r="H100" s="73">
        <v>6027</v>
      </c>
      <c r="I100" s="81">
        <f>(Table2[[#This Row],[Total_Followers]]-F97)/F97</f>
        <v>-0.31942197695028601</v>
      </c>
      <c r="J100" s="9" t="str" cm="1">
        <f t="array" ref="J100">IFERROR(INDEX(Table3[[#All],[Campaign_Name]],MATCH(1,(Table2[[#This Row],[Week_Start_Date]]&gt;=Table3[[#All],[Start_Date]])*(Table2[[#This Row],[Week_Start_Date]]&lt;=Table3[[#All],[End_Date]]),0)),"No Campign")</f>
        <v>ChillVibes</v>
      </c>
      <c r="K100" s="109">
        <f>Table2[[#This Row],[Engagement_Rate]]/Table2[[#This Row],[Ad_Spend]]</f>
        <v>1.0386593661854985E-3</v>
      </c>
    </row>
    <row r="101" spans="1:11">
      <c r="A101" s="10">
        <v>45677</v>
      </c>
      <c r="B101" s="1" t="s">
        <v>13</v>
      </c>
      <c r="C101" s="9">
        <v>601</v>
      </c>
      <c r="D101" s="9">
        <v>159</v>
      </c>
      <c r="E101" s="9">
        <f>Table2[[#This Row],[New_Followers]]-Table2[[#This Row],[Unfollows]]</f>
        <v>442</v>
      </c>
      <c r="F101" s="9">
        <v>327722</v>
      </c>
      <c r="G101" s="9">
        <v>3.33</v>
      </c>
      <c r="H101" s="73">
        <v>25267</v>
      </c>
      <c r="I101" s="81">
        <f>(Table2[[#This Row],[Total_Followers]]-F98)/F98</f>
        <v>-3.2014910163899561E-2</v>
      </c>
      <c r="J101" s="9" t="str" cm="1">
        <f t="array" ref="J101">IFERROR(INDEX(Table3[[#All],[Campaign_Name]],MATCH(1,(Table2[[#This Row],[Week_Start_Date]]&gt;=Table3[[#All],[Start_Date]])*(Table2[[#This Row],[Week_Start_Date]]&lt;=Table3[[#All],[End_Date]]),0)),"No Campign")</f>
        <v>ChillVibes</v>
      </c>
      <c r="K101" s="109">
        <f>Table2[[#This Row],[Engagement_Rate]]/Table2[[#This Row],[Ad_Spend]]</f>
        <v>1.3179245656389757E-4</v>
      </c>
    </row>
    <row r="102" spans="1:11">
      <c r="A102" s="10">
        <v>45677</v>
      </c>
      <c r="B102" s="1" t="s">
        <v>22</v>
      </c>
      <c r="C102" s="9">
        <v>841</v>
      </c>
      <c r="D102" s="9">
        <v>295</v>
      </c>
      <c r="E102" s="9">
        <f>Table2[[#This Row],[New_Followers]]-Table2[[#This Row],[Unfollows]]</f>
        <v>546</v>
      </c>
      <c r="F102" s="9">
        <v>271638</v>
      </c>
      <c r="G102" s="9">
        <v>9.15</v>
      </c>
      <c r="H102" s="73">
        <v>5900</v>
      </c>
      <c r="I102" s="81">
        <f>(Table2[[#This Row],[Total_Followers]]-F99)/F99</f>
        <v>-0.20540227464195451</v>
      </c>
      <c r="J102" s="9" t="str" cm="1">
        <f t="array" ref="J102">IFERROR(INDEX(Table3[[#All],[Campaign_Name]],MATCH(1,(Table2[[#This Row],[Week_Start_Date]]&gt;=Table3[[#All],[Start_Date]])*(Table2[[#This Row],[Week_Start_Date]]&lt;=Table3[[#All],[End_Date]]),0)),"No Campign")</f>
        <v>ChillVibes</v>
      </c>
      <c r="K102" s="109">
        <f>Table2[[#This Row],[Engagement_Rate]]/Table2[[#This Row],[Ad_Spend]]</f>
        <v>1.5508474576271187E-3</v>
      </c>
    </row>
    <row r="103" spans="1:11">
      <c r="A103" s="10">
        <v>45677</v>
      </c>
      <c r="B103" s="1" t="s">
        <v>28</v>
      </c>
      <c r="C103" s="9">
        <v>1105</v>
      </c>
      <c r="D103" s="9">
        <v>261</v>
      </c>
      <c r="E103" s="9">
        <f>Table2[[#This Row],[New_Followers]]-Table2[[#This Row],[Unfollows]]</f>
        <v>844</v>
      </c>
      <c r="F103" s="9">
        <v>333851</v>
      </c>
      <c r="G103" s="9">
        <v>6.03</v>
      </c>
      <c r="H103" s="73">
        <v>11181</v>
      </c>
      <c r="I103" s="81">
        <f>(Table2[[#This Row],[Total_Followers]]-F100)/F100</f>
        <v>0.89839076538155349</v>
      </c>
      <c r="J103" s="9" t="str" cm="1">
        <f t="array" ref="J103">IFERROR(INDEX(Table3[[#All],[Campaign_Name]],MATCH(1,(Table2[[#This Row],[Week_Start_Date]]&gt;=Table3[[#All],[Start_Date]])*(Table2[[#This Row],[Week_Start_Date]]&lt;=Table3[[#All],[End_Date]]),0)),"No Campign")</f>
        <v>ChillVibes</v>
      </c>
      <c r="K103" s="109">
        <f>Table2[[#This Row],[Engagement_Rate]]/Table2[[#This Row],[Ad_Spend]]</f>
        <v>5.3930775422591896E-4</v>
      </c>
    </row>
    <row r="104" spans="1:11">
      <c r="A104" s="10">
        <v>45684</v>
      </c>
      <c r="B104" s="1" t="s">
        <v>13</v>
      </c>
      <c r="C104" s="9">
        <v>566</v>
      </c>
      <c r="D104" s="9">
        <v>225</v>
      </c>
      <c r="E104" s="9">
        <f>Table2[[#This Row],[New_Followers]]-Table2[[#This Row],[Unfollows]]</f>
        <v>341</v>
      </c>
      <c r="F104" s="9">
        <v>368984</v>
      </c>
      <c r="G104" s="9">
        <v>9.82</v>
      </c>
      <c r="H104" s="73">
        <v>9592</v>
      </c>
      <c r="I104" s="81">
        <f>(Table2[[#This Row],[Total_Followers]]-F101)/F101</f>
        <v>0.12590549307034621</v>
      </c>
      <c r="J104" s="9" t="str" cm="1">
        <f t="array" ref="J104">IFERROR(INDEX(Table3[[#All],[Campaign_Name]],MATCH(1,(Table2[[#This Row],[Week_Start_Date]]&gt;=Table3[[#All],[Start_Date]])*(Table2[[#This Row],[Week_Start_Date]]&lt;=Table3[[#All],[End_Date]]),0)),"No Campign")</f>
        <v>ChillVibes</v>
      </c>
      <c r="K104" s="109">
        <f>Table2[[#This Row],[Engagement_Rate]]/Table2[[#This Row],[Ad_Spend]]</f>
        <v>1.0237698081734779E-3</v>
      </c>
    </row>
    <row r="105" spans="1:11">
      <c r="A105" s="10">
        <v>45684</v>
      </c>
      <c r="B105" s="1" t="s">
        <v>22</v>
      </c>
      <c r="C105" s="9">
        <v>1149</v>
      </c>
      <c r="D105" s="9">
        <v>280</v>
      </c>
      <c r="E105" s="9">
        <f>Table2[[#This Row],[New_Followers]]-Table2[[#This Row],[Unfollows]]</f>
        <v>869</v>
      </c>
      <c r="F105" s="9">
        <v>167310</v>
      </c>
      <c r="G105" s="9">
        <v>3.7</v>
      </c>
      <c r="H105" s="73">
        <v>5291</v>
      </c>
      <c r="I105" s="81">
        <f>(Table2[[#This Row],[Total_Followers]]-F102)/F102</f>
        <v>-0.38406997548207539</v>
      </c>
      <c r="J105" s="9" t="str" cm="1">
        <f t="array" ref="J105">IFERROR(INDEX(Table3[[#All],[Campaign_Name]],MATCH(1,(Table2[[#This Row],[Week_Start_Date]]&gt;=Table3[[#All],[Start_Date]])*(Table2[[#This Row],[Week_Start_Date]]&lt;=Table3[[#All],[End_Date]]),0)),"No Campign")</f>
        <v>ChillVibes</v>
      </c>
      <c r="K105" s="109">
        <f>Table2[[#This Row],[Engagement_Rate]]/Table2[[#This Row],[Ad_Spend]]</f>
        <v>6.993006993006993E-4</v>
      </c>
    </row>
    <row r="106" spans="1:11">
      <c r="A106" s="10">
        <v>45684</v>
      </c>
      <c r="B106" s="1" t="s">
        <v>28</v>
      </c>
      <c r="C106" s="9">
        <v>819</v>
      </c>
      <c r="D106" s="9">
        <v>101</v>
      </c>
      <c r="E106" s="9">
        <f>Table2[[#This Row],[New_Followers]]-Table2[[#This Row],[Unfollows]]</f>
        <v>718</v>
      </c>
      <c r="F106" s="9">
        <v>194811</v>
      </c>
      <c r="G106" s="9">
        <v>3.35</v>
      </c>
      <c r="H106" s="73">
        <v>22244</v>
      </c>
      <c r="I106" s="81">
        <f>(Table2[[#This Row],[Total_Followers]]-F103)/F103</f>
        <v>-0.41647321709385327</v>
      </c>
      <c r="J106" s="9" t="str" cm="1">
        <f t="array" ref="J106">IFERROR(INDEX(Table3[[#All],[Campaign_Name]],MATCH(1,(Table2[[#This Row],[Week_Start_Date]]&gt;=Table3[[#All],[Start_Date]])*(Table2[[#This Row],[Week_Start_Date]]&lt;=Table3[[#All],[End_Date]]),0)),"No Campign")</f>
        <v>ChillVibes</v>
      </c>
      <c r="K106" s="109">
        <f>Table2[[#This Row],[Engagement_Rate]]/Table2[[#This Row],[Ad_Spend]]</f>
        <v>1.5060240963855423E-4</v>
      </c>
    </row>
    <row r="107" spans="1:11">
      <c r="A107" s="10">
        <v>45691</v>
      </c>
      <c r="B107" s="1" t="s">
        <v>13</v>
      </c>
      <c r="C107" s="9">
        <v>795</v>
      </c>
      <c r="D107" s="9">
        <v>60</v>
      </c>
      <c r="E107" s="9">
        <f>Table2[[#This Row],[New_Followers]]-Table2[[#This Row],[Unfollows]]</f>
        <v>735</v>
      </c>
      <c r="F107" s="9">
        <v>314982</v>
      </c>
      <c r="G107" s="9">
        <v>7.31</v>
      </c>
      <c r="H107" s="73">
        <v>6824</v>
      </c>
      <c r="I107" s="81">
        <f>(Table2[[#This Row],[Total_Followers]]-F104)/F104</f>
        <v>-0.14635322940832124</v>
      </c>
      <c r="J107" s="9" t="str" cm="1">
        <f t="array" ref="J107">IFERROR(INDEX(Table3[[#All],[Campaign_Name]],MATCH(1,(Table2[[#This Row],[Week_Start_Date]]&gt;=Table3[[#All],[Start_Date]])*(Table2[[#This Row],[Week_Start_Date]]&lt;=Table3[[#All],[End_Date]]),0)),"No Campign")</f>
        <v>ChillVibes</v>
      </c>
      <c r="K107" s="109">
        <f>Table2[[#This Row],[Engagement_Rate]]/Table2[[#This Row],[Ad_Spend]]</f>
        <v>1.0712192262602579E-3</v>
      </c>
    </row>
    <row r="108" spans="1:11">
      <c r="A108" s="10">
        <v>45691</v>
      </c>
      <c r="B108" s="1" t="s">
        <v>22</v>
      </c>
      <c r="C108" s="9">
        <v>681</v>
      </c>
      <c r="D108" s="9">
        <v>158</v>
      </c>
      <c r="E108" s="9">
        <f>Table2[[#This Row],[New_Followers]]-Table2[[#This Row],[Unfollows]]</f>
        <v>523</v>
      </c>
      <c r="F108" s="9">
        <v>75960</v>
      </c>
      <c r="G108" s="9">
        <v>3.13</v>
      </c>
      <c r="H108" s="73">
        <v>24112</v>
      </c>
      <c r="I108" s="81">
        <f>(Table2[[#This Row],[Total_Followers]]-F105)/F105</f>
        <v>-0.54599246906939214</v>
      </c>
      <c r="J108" s="9" t="str" cm="1">
        <f t="array" ref="J108">IFERROR(INDEX(Table3[[#All],[Campaign_Name]],MATCH(1,(Table2[[#This Row],[Week_Start_Date]]&gt;=Table3[[#All],[Start_Date]])*(Table2[[#This Row],[Week_Start_Date]]&lt;=Table3[[#All],[End_Date]]),0)),"No Campign")</f>
        <v>ChillVibes</v>
      </c>
      <c r="K108" s="109">
        <f>Table2[[#This Row],[Engagement_Rate]]/Table2[[#This Row],[Ad_Spend]]</f>
        <v>1.2981088254810882E-4</v>
      </c>
    </row>
    <row r="109" spans="1:11">
      <c r="A109" s="10">
        <v>45691</v>
      </c>
      <c r="B109" s="1" t="s">
        <v>28</v>
      </c>
      <c r="C109" s="9">
        <v>534</v>
      </c>
      <c r="D109" s="9">
        <v>112</v>
      </c>
      <c r="E109" s="9">
        <f>Table2[[#This Row],[New_Followers]]-Table2[[#This Row],[Unfollows]]</f>
        <v>422</v>
      </c>
      <c r="F109" s="9">
        <v>360759</v>
      </c>
      <c r="G109" s="9">
        <v>4.8899999999999997</v>
      </c>
      <c r="H109" s="73">
        <v>25478</v>
      </c>
      <c r="I109" s="81">
        <f>(Table2[[#This Row],[Total_Followers]]-F106)/F106</f>
        <v>0.8518410151377489</v>
      </c>
      <c r="J109" s="9" t="str" cm="1">
        <f t="array" ref="J109">IFERROR(INDEX(Table3[[#All],[Campaign_Name]],MATCH(1,(Table2[[#This Row],[Week_Start_Date]]&gt;=Table3[[#All],[Start_Date]])*(Table2[[#This Row],[Week_Start_Date]]&lt;=Table3[[#All],[End_Date]]),0)),"No Campign")</f>
        <v>ChillVibes</v>
      </c>
      <c r="K109" s="109">
        <f>Table2[[#This Row],[Engagement_Rate]]/Table2[[#This Row],[Ad_Spend]]</f>
        <v>1.9193029280163278E-4</v>
      </c>
    </row>
    <row r="110" spans="1:11">
      <c r="A110" s="10">
        <v>45698</v>
      </c>
      <c r="B110" s="1" t="s">
        <v>13</v>
      </c>
      <c r="C110" s="9">
        <v>1066</v>
      </c>
      <c r="D110" s="9">
        <v>151</v>
      </c>
      <c r="E110" s="9">
        <f>Table2[[#This Row],[New_Followers]]-Table2[[#This Row],[Unfollows]]</f>
        <v>915</v>
      </c>
      <c r="F110" s="9">
        <v>297090</v>
      </c>
      <c r="G110" s="9">
        <v>8.6300000000000008</v>
      </c>
      <c r="H110" s="73">
        <v>11235</v>
      </c>
      <c r="I110" s="81">
        <f>(Table2[[#This Row],[Total_Followers]]-F107)/F107</f>
        <v>-5.6803245899765702E-2</v>
      </c>
      <c r="J110" s="9" t="str" cm="1">
        <f t="array" ref="J110">IFERROR(INDEX(Table3[[#All],[Campaign_Name]],MATCH(1,(Table2[[#This Row],[Week_Start_Date]]&gt;=Table3[[#All],[Start_Date]])*(Table2[[#This Row],[Week_Start_Date]]&lt;=Table3[[#All],[End_Date]]),0)),"No Campign")</f>
        <v>ChillVibes</v>
      </c>
      <c r="K110" s="109">
        <f>Table2[[#This Row],[Engagement_Rate]]/Table2[[#This Row],[Ad_Spend]]</f>
        <v>7.6813529149977753E-4</v>
      </c>
    </row>
    <row r="111" spans="1:11">
      <c r="A111" s="10">
        <v>45698</v>
      </c>
      <c r="B111" s="1" t="s">
        <v>22</v>
      </c>
      <c r="C111" s="9">
        <v>1270</v>
      </c>
      <c r="D111" s="9">
        <v>162</v>
      </c>
      <c r="E111" s="9">
        <f>Table2[[#This Row],[New_Followers]]-Table2[[#This Row],[Unfollows]]</f>
        <v>1108</v>
      </c>
      <c r="F111" s="9">
        <v>92040</v>
      </c>
      <c r="G111" s="9">
        <v>8.0299999999999994</v>
      </c>
      <c r="H111" s="73">
        <v>6120</v>
      </c>
      <c r="I111" s="81">
        <f>(Table2[[#This Row],[Total_Followers]]-F108)/F108</f>
        <v>0.21169036334913113</v>
      </c>
      <c r="J111" s="9" t="str" cm="1">
        <f t="array" ref="J111">IFERROR(INDEX(Table3[[#All],[Campaign_Name]],MATCH(1,(Table2[[#This Row],[Week_Start_Date]]&gt;=Table3[[#All],[Start_Date]])*(Table2[[#This Row],[Week_Start_Date]]&lt;=Table3[[#All],[End_Date]]),0)),"No Campign")</f>
        <v>ChillVibes</v>
      </c>
      <c r="K111" s="109">
        <f>Table2[[#This Row],[Engagement_Rate]]/Table2[[#This Row],[Ad_Spend]]</f>
        <v>1.3120915032679738E-3</v>
      </c>
    </row>
    <row r="112" spans="1:11">
      <c r="A112" s="10">
        <v>45698</v>
      </c>
      <c r="B112" s="1" t="s">
        <v>28</v>
      </c>
      <c r="C112" s="9">
        <v>536</v>
      </c>
      <c r="D112" s="9">
        <v>198</v>
      </c>
      <c r="E112" s="9">
        <f>Table2[[#This Row],[New_Followers]]-Table2[[#This Row],[Unfollows]]</f>
        <v>338</v>
      </c>
      <c r="F112" s="9">
        <v>174610</v>
      </c>
      <c r="G112" s="9">
        <v>7.85</v>
      </c>
      <c r="H112" s="73">
        <v>20572</v>
      </c>
      <c r="I112" s="81">
        <f>(Table2[[#This Row],[Total_Followers]]-F109)/F109</f>
        <v>-0.51599267100751467</v>
      </c>
      <c r="J112" s="9" t="str" cm="1">
        <f t="array" ref="J112">IFERROR(INDEX(Table3[[#All],[Campaign_Name]],MATCH(1,(Table2[[#This Row],[Week_Start_Date]]&gt;=Table3[[#All],[Start_Date]])*(Table2[[#This Row],[Week_Start_Date]]&lt;=Table3[[#All],[End_Date]]),0)),"No Campign")</f>
        <v>ChillVibes</v>
      </c>
      <c r="K112" s="109">
        <f>Table2[[#This Row],[Engagement_Rate]]/Table2[[#This Row],[Ad_Spend]]</f>
        <v>3.8158662259381684E-4</v>
      </c>
    </row>
    <row r="113" spans="1:11">
      <c r="A113" s="10">
        <v>45705</v>
      </c>
      <c r="B113" s="1" t="s">
        <v>13</v>
      </c>
      <c r="C113" s="9">
        <v>819</v>
      </c>
      <c r="D113" s="9">
        <v>95</v>
      </c>
      <c r="E113" s="9">
        <f>Table2[[#This Row],[New_Followers]]-Table2[[#This Row],[Unfollows]]</f>
        <v>724</v>
      </c>
      <c r="F113" s="9">
        <v>177376</v>
      </c>
      <c r="G113" s="9">
        <v>6.12</v>
      </c>
      <c r="H113" s="73">
        <v>14975</v>
      </c>
      <c r="I113" s="81">
        <f>(Table2[[#This Row],[Total_Followers]]-F110)/F110</f>
        <v>-0.40295533340065298</v>
      </c>
      <c r="J113" s="9" t="str" cm="1">
        <f t="array" ref="J113">IFERROR(INDEX(Table3[[#All],[Campaign_Name]],MATCH(1,(Table2[[#This Row],[Week_Start_Date]]&gt;=Table3[[#All],[Start_Date]])*(Table2[[#This Row],[Week_Start_Date]]&lt;=Table3[[#All],[End_Date]]),0)),"No Campign")</f>
        <v>No Campign</v>
      </c>
      <c r="K113" s="109">
        <f>Table2[[#This Row],[Engagement_Rate]]/Table2[[#This Row],[Ad_Spend]]</f>
        <v>4.0868113522537564E-4</v>
      </c>
    </row>
    <row r="114" spans="1:11">
      <c r="A114" s="10">
        <v>45705</v>
      </c>
      <c r="B114" s="1" t="s">
        <v>22</v>
      </c>
      <c r="C114" s="9">
        <v>681</v>
      </c>
      <c r="D114" s="9">
        <v>218</v>
      </c>
      <c r="E114" s="9">
        <f>Table2[[#This Row],[New_Followers]]-Table2[[#This Row],[Unfollows]]</f>
        <v>463</v>
      </c>
      <c r="F114" s="9">
        <v>198882</v>
      </c>
      <c r="G114" s="9">
        <v>7.16</v>
      </c>
      <c r="H114" s="73">
        <v>22234</v>
      </c>
      <c r="I114" s="81">
        <f>(Table2[[#This Row],[Total_Followers]]-F111)/F111</f>
        <v>1.1608213820078226</v>
      </c>
      <c r="J114" s="9" t="str" cm="1">
        <f t="array" ref="J114">IFERROR(INDEX(Table3[[#All],[Campaign_Name]],MATCH(1,(Table2[[#This Row],[Week_Start_Date]]&gt;=Table3[[#All],[Start_Date]])*(Table2[[#This Row],[Week_Start_Date]]&lt;=Table3[[#All],[End_Date]]),0)),"No Campign")</f>
        <v>No Campign</v>
      </c>
      <c r="K114" s="109">
        <f>Table2[[#This Row],[Engagement_Rate]]/Table2[[#This Row],[Ad_Spend]]</f>
        <v>3.2202932445803725E-4</v>
      </c>
    </row>
    <row r="115" spans="1:11">
      <c r="A115" s="10">
        <v>45705</v>
      </c>
      <c r="B115" s="1" t="s">
        <v>28</v>
      </c>
      <c r="C115" s="9">
        <v>646</v>
      </c>
      <c r="D115" s="9">
        <v>290</v>
      </c>
      <c r="E115" s="9">
        <f>Table2[[#This Row],[New_Followers]]-Table2[[#This Row],[Unfollows]]</f>
        <v>356</v>
      </c>
      <c r="F115" s="9">
        <v>336383</v>
      </c>
      <c r="G115" s="9">
        <v>7.04</v>
      </c>
      <c r="H115" s="73">
        <v>6532</v>
      </c>
      <c r="I115" s="81">
        <f>(Table2[[#This Row],[Total_Followers]]-F112)/F112</f>
        <v>0.92648187389038428</v>
      </c>
      <c r="J115" s="9" t="str" cm="1">
        <f t="array" ref="J115">IFERROR(INDEX(Table3[[#All],[Campaign_Name]],MATCH(1,(Table2[[#This Row],[Week_Start_Date]]&gt;=Table3[[#All],[Start_Date]])*(Table2[[#This Row],[Week_Start_Date]]&lt;=Table3[[#All],[End_Date]]),0)),"No Campign")</f>
        <v>No Campign</v>
      </c>
      <c r="K115" s="109">
        <f>Table2[[#This Row],[Engagement_Rate]]/Table2[[#This Row],[Ad_Spend]]</f>
        <v>1.0777709736680956E-3</v>
      </c>
    </row>
    <row r="116" spans="1:11">
      <c r="A116" s="10">
        <v>45712</v>
      </c>
      <c r="B116" s="1" t="s">
        <v>13</v>
      </c>
      <c r="C116" s="9">
        <v>645</v>
      </c>
      <c r="D116" s="9">
        <v>267</v>
      </c>
      <c r="E116" s="9">
        <f>Table2[[#This Row],[New_Followers]]-Table2[[#This Row],[Unfollows]]</f>
        <v>378</v>
      </c>
      <c r="F116" s="9">
        <v>346890</v>
      </c>
      <c r="G116" s="9">
        <v>3.71</v>
      </c>
      <c r="H116" s="73">
        <v>24858</v>
      </c>
      <c r="I116" s="81">
        <f>(Table2[[#This Row],[Total_Followers]]-F113)/F113</f>
        <v>0.95567607793613563</v>
      </c>
      <c r="J116" s="9" t="str" cm="1">
        <f t="array" ref="J116">IFERROR(INDEX(Table3[[#All],[Campaign_Name]],MATCH(1,(Table2[[#This Row],[Week_Start_Date]]&gt;=Table3[[#All],[Start_Date]])*(Table2[[#This Row],[Week_Start_Date]]&lt;=Table3[[#All],[End_Date]]),0)),"No Campign")</f>
        <v>No Campign</v>
      </c>
      <c r="K116" s="109">
        <f>Table2[[#This Row],[Engagement_Rate]]/Table2[[#This Row],[Ad_Spend]]</f>
        <v>1.4924772708987046E-4</v>
      </c>
    </row>
    <row r="117" spans="1:11">
      <c r="A117" s="10">
        <v>45712</v>
      </c>
      <c r="B117" s="1" t="s">
        <v>22</v>
      </c>
      <c r="C117" s="9">
        <v>886</v>
      </c>
      <c r="D117" s="9">
        <v>250</v>
      </c>
      <c r="E117" s="9">
        <f>Table2[[#This Row],[New_Followers]]-Table2[[#This Row],[Unfollows]]</f>
        <v>636</v>
      </c>
      <c r="F117" s="9">
        <v>168170</v>
      </c>
      <c r="G117" s="9">
        <v>4.12</v>
      </c>
      <c r="H117" s="73">
        <v>13883</v>
      </c>
      <c r="I117" s="81">
        <f>(Table2[[#This Row],[Total_Followers]]-F114)/F114</f>
        <v>-0.15442322583240314</v>
      </c>
      <c r="J117" s="9" t="str" cm="1">
        <f t="array" ref="J117">IFERROR(INDEX(Table3[[#All],[Campaign_Name]],MATCH(1,(Table2[[#This Row],[Week_Start_Date]]&gt;=Table3[[#All],[Start_Date]])*(Table2[[#This Row],[Week_Start_Date]]&lt;=Table3[[#All],[End_Date]]),0)),"No Campign")</f>
        <v>No Campign</v>
      </c>
      <c r="K117" s="109">
        <f>Table2[[#This Row],[Engagement_Rate]]/Table2[[#This Row],[Ad_Spend]]</f>
        <v>2.9676582871137361E-4</v>
      </c>
    </row>
    <row r="118" spans="1:11">
      <c r="A118" s="10">
        <v>45712</v>
      </c>
      <c r="B118" s="1" t="s">
        <v>28</v>
      </c>
      <c r="C118" s="9">
        <v>978</v>
      </c>
      <c r="D118" s="9">
        <v>279</v>
      </c>
      <c r="E118" s="9">
        <f>Table2[[#This Row],[New_Followers]]-Table2[[#This Row],[Unfollows]]</f>
        <v>699</v>
      </c>
      <c r="F118" s="9">
        <v>368872</v>
      </c>
      <c r="G118" s="9">
        <v>6.82</v>
      </c>
      <c r="H118" s="73">
        <v>18654</v>
      </c>
      <c r="I118" s="81">
        <f>(Table2[[#This Row],[Total_Followers]]-F115)/F115</f>
        <v>9.6583358849882422E-2</v>
      </c>
      <c r="J118" s="9" t="str" cm="1">
        <f t="array" ref="J118">IFERROR(INDEX(Table3[[#All],[Campaign_Name]],MATCH(1,(Table2[[#This Row],[Week_Start_Date]]&gt;=Table3[[#All],[Start_Date]])*(Table2[[#This Row],[Week_Start_Date]]&lt;=Table3[[#All],[End_Date]]),0)),"No Campign")</f>
        <v>No Campign</v>
      </c>
      <c r="K118" s="109">
        <f>Table2[[#This Row],[Engagement_Rate]]/Table2[[#This Row],[Ad_Spend]]</f>
        <v>3.6560523212179696E-4</v>
      </c>
    </row>
    <row r="119" spans="1:11">
      <c r="A119" s="10">
        <v>45719</v>
      </c>
      <c r="B119" s="1" t="s">
        <v>13</v>
      </c>
      <c r="C119" s="9">
        <v>1444</v>
      </c>
      <c r="D119" s="9">
        <v>165</v>
      </c>
      <c r="E119" s="9">
        <f>Table2[[#This Row],[New_Followers]]-Table2[[#This Row],[Unfollows]]</f>
        <v>1279</v>
      </c>
      <c r="F119" s="9">
        <v>116436</v>
      </c>
      <c r="G119" s="9">
        <v>8.2200000000000006</v>
      </c>
      <c r="H119" s="73">
        <v>25234</v>
      </c>
      <c r="I119" s="81">
        <f>(Table2[[#This Row],[Total_Followers]]-F116)/F116</f>
        <v>-0.66434316353887402</v>
      </c>
      <c r="J119" s="9" t="str" cm="1">
        <f t="array" ref="J119">IFERROR(INDEX(Table3[[#All],[Campaign_Name]],MATCH(1,(Table2[[#This Row],[Week_Start_Date]]&gt;=Table3[[#All],[Start_Date]])*(Table2[[#This Row],[Week_Start_Date]]&lt;=Table3[[#All],[End_Date]]),0)),"No Campign")</f>
        <v>IndieWave</v>
      </c>
      <c r="K119" s="109">
        <f>Table2[[#This Row],[Engagement_Rate]]/Table2[[#This Row],[Ad_Spend]]</f>
        <v>3.2575097091226126E-4</v>
      </c>
    </row>
    <row r="120" spans="1:11">
      <c r="A120" s="10">
        <v>45719</v>
      </c>
      <c r="B120" s="1" t="s">
        <v>22</v>
      </c>
      <c r="C120" s="9">
        <v>1234</v>
      </c>
      <c r="D120" s="9">
        <v>228</v>
      </c>
      <c r="E120" s="9">
        <f>Table2[[#This Row],[New_Followers]]-Table2[[#This Row],[Unfollows]]</f>
        <v>1006</v>
      </c>
      <c r="F120" s="9">
        <v>127502</v>
      </c>
      <c r="G120" s="9">
        <v>7.71</v>
      </c>
      <c r="H120" s="73">
        <v>6772</v>
      </c>
      <c r="I120" s="81">
        <f>(Table2[[#This Row],[Total_Followers]]-F117)/F117</f>
        <v>-0.24182672295891064</v>
      </c>
      <c r="J120" s="9" t="str" cm="1">
        <f t="array" ref="J120">IFERROR(INDEX(Table3[[#All],[Campaign_Name]],MATCH(1,(Table2[[#This Row],[Week_Start_Date]]&gt;=Table3[[#All],[Start_Date]])*(Table2[[#This Row],[Week_Start_Date]]&lt;=Table3[[#All],[End_Date]]),0)),"No Campign")</f>
        <v>IndieWave</v>
      </c>
      <c r="K120" s="109">
        <f>Table2[[#This Row],[Engagement_Rate]]/Table2[[#This Row],[Ad_Spend]]</f>
        <v>1.1385115180153574E-3</v>
      </c>
    </row>
    <row r="121" spans="1:11">
      <c r="A121" s="10">
        <v>45719</v>
      </c>
      <c r="B121" s="1" t="s">
        <v>28</v>
      </c>
      <c r="C121" s="9">
        <v>665</v>
      </c>
      <c r="D121" s="9">
        <v>187</v>
      </c>
      <c r="E121" s="9">
        <f>Table2[[#This Row],[New_Followers]]-Table2[[#This Row],[Unfollows]]</f>
        <v>478</v>
      </c>
      <c r="F121" s="9">
        <v>274567</v>
      </c>
      <c r="G121" s="9">
        <v>7.39</v>
      </c>
      <c r="H121" s="73">
        <v>22428</v>
      </c>
      <c r="I121" s="81">
        <f>(Table2[[#This Row],[Total_Followers]]-F118)/F118</f>
        <v>-0.25565778915179249</v>
      </c>
      <c r="J121" s="9" t="str" cm="1">
        <f t="array" ref="J121">IFERROR(INDEX(Table3[[#All],[Campaign_Name]],MATCH(1,(Table2[[#This Row],[Week_Start_Date]]&gt;=Table3[[#All],[Start_Date]])*(Table2[[#This Row],[Week_Start_Date]]&lt;=Table3[[#All],[End_Date]]),0)),"No Campign")</f>
        <v>IndieWave</v>
      </c>
      <c r="K121" s="109">
        <f>Table2[[#This Row],[Engagement_Rate]]/Table2[[#This Row],[Ad_Spend]]</f>
        <v>3.2949884073479576E-4</v>
      </c>
    </row>
    <row r="122" spans="1:11">
      <c r="A122" s="10">
        <v>45726</v>
      </c>
      <c r="B122" s="1" t="s">
        <v>13</v>
      </c>
      <c r="C122" s="9">
        <v>631</v>
      </c>
      <c r="D122" s="9">
        <v>86</v>
      </c>
      <c r="E122" s="9">
        <f>Table2[[#This Row],[New_Followers]]-Table2[[#This Row],[Unfollows]]</f>
        <v>545</v>
      </c>
      <c r="F122" s="9">
        <v>295090</v>
      </c>
      <c r="G122" s="9">
        <v>7.89</v>
      </c>
      <c r="H122" s="73">
        <v>11911</v>
      </c>
      <c r="I122" s="81">
        <f>(Table2[[#This Row],[Total_Followers]]-F119)/F119</f>
        <v>1.5343536363324057</v>
      </c>
      <c r="J122" s="9" t="str" cm="1">
        <f t="array" ref="J122">IFERROR(INDEX(Table3[[#All],[Campaign_Name]],MATCH(1,(Table2[[#This Row],[Week_Start_Date]]&gt;=Table3[[#All],[Start_Date]])*(Table2[[#This Row],[Week_Start_Date]]&lt;=Table3[[#All],[End_Date]]),0)),"No Campign")</f>
        <v>IndieWave</v>
      </c>
      <c r="K122" s="109">
        <f>Table2[[#This Row],[Engagement_Rate]]/Table2[[#This Row],[Ad_Spend]]</f>
        <v>6.624128956426832E-4</v>
      </c>
    </row>
    <row r="123" spans="1:11">
      <c r="A123" s="10">
        <v>45726</v>
      </c>
      <c r="B123" s="1" t="s">
        <v>22</v>
      </c>
      <c r="C123" s="9">
        <v>1159</v>
      </c>
      <c r="D123" s="9">
        <v>154</v>
      </c>
      <c r="E123" s="9">
        <f>Table2[[#This Row],[New_Followers]]-Table2[[#This Row],[Unfollows]]</f>
        <v>1005</v>
      </c>
      <c r="F123" s="9">
        <v>194994</v>
      </c>
      <c r="G123" s="9">
        <v>6.39</v>
      </c>
      <c r="H123" s="73">
        <v>21900</v>
      </c>
      <c r="I123" s="81">
        <f>(Table2[[#This Row],[Total_Followers]]-F120)/F120</f>
        <v>0.5293407162240592</v>
      </c>
      <c r="J123" s="9" t="str" cm="1">
        <f t="array" ref="J123">IFERROR(INDEX(Table3[[#All],[Campaign_Name]],MATCH(1,(Table2[[#This Row],[Week_Start_Date]]&gt;=Table3[[#All],[Start_Date]])*(Table2[[#This Row],[Week_Start_Date]]&lt;=Table3[[#All],[End_Date]]),0)),"No Campign")</f>
        <v>IndieWave</v>
      </c>
      <c r="K123" s="109">
        <f>Table2[[#This Row],[Engagement_Rate]]/Table2[[#This Row],[Ad_Spend]]</f>
        <v>2.9178082191780823E-4</v>
      </c>
    </row>
    <row r="124" spans="1:11">
      <c r="A124" s="10">
        <v>45726</v>
      </c>
      <c r="B124" s="1" t="s">
        <v>28</v>
      </c>
      <c r="C124" s="9">
        <v>950</v>
      </c>
      <c r="D124" s="9">
        <v>185</v>
      </c>
      <c r="E124" s="9">
        <f>Table2[[#This Row],[New_Followers]]-Table2[[#This Row],[Unfollows]]</f>
        <v>765</v>
      </c>
      <c r="F124" s="9">
        <v>340750</v>
      </c>
      <c r="G124" s="9">
        <v>6.77</v>
      </c>
      <c r="H124" s="73">
        <v>25542</v>
      </c>
      <c r="I124" s="81">
        <f>(Table2[[#This Row],[Total_Followers]]-F121)/F121</f>
        <v>0.24104499084012282</v>
      </c>
      <c r="J124" s="9" t="str" cm="1">
        <f t="array" ref="J124">IFERROR(INDEX(Table3[[#All],[Campaign_Name]],MATCH(1,(Table2[[#This Row],[Week_Start_Date]]&gt;=Table3[[#All],[Start_Date]])*(Table2[[#This Row],[Week_Start_Date]]&lt;=Table3[[#All],[End_Date]]),0)),"No Campign")</f>
        <v>IndieWave</v>
      </c>
      <c r="K124" s="109">
        <f>Table2[[#This Row],[Engagement_Rate]]/Table2[[#This Row],[Ad_Spend]]</f>
        <v>2.6505363714666037E-4</v>
      </c>
    </row>
    <row r="125" spans="1:11">
      <c r="A125" s="10">
        <v>45733</v>
      </c>
      <c r="B125" s="1" t="s">
        <v>13</v>
      </c>
      <c r="C125" s="9">
        <v>693</v>
      </c>
      <c r="D125" s="9">
        <v>129</v>
      </c>
      <c r="E125" s="9">
        <f>Table2[[#This Row],[New_Followers]]-Table2[[#This Row],[Unfollows]]</f>
        <v>564</v>
      </c>
      <c r="F125" s="9">
        <v>296031</v>
      </c>
      <c r="G125" s="9">
        <v>3.41</v>
      </c>
      <c r="H125" s="73">
        <v>7140</v>
      </c>
      <c r="I125" s="81">
        <f>(Table2[[#This Row],[Total_Followers]]-F122)/F122</f>
        <v>3.1888576366532243E-3</v>
      </c>
      <c r="J125" s="9" t="str" cm="1">
        <f t="array" ref="J125">IFERROR(INDEX(Table3[[#All],[Campaign_Name]],MATCH(1,(Table2[[#This Row],[Week_Start_Date]]&gt;=Table3[[#All],[Start_Date]])*(Table2[[#This Row],[Week_Start_Date]]&lt;=Table3[[#All],[End_Date]]),0)),"No Campign")</f>
        <v>IndieWave</v>
      </c>
      <c r="K125" s="109">
        <f>Table2[[#This Row],[Engagement_Rate]]/Table2[[#This Row],[Ad_Spend]]</f>
        <v>4.7759103641456584E-4</v>
      </c>
    </row>
    <row r="126" spans="1:11">
      <c r="A126" s="10">
        <v>45733</v>
      </c>
      <c r="B126" s="1" t="s">
        <v>22</v>
      </c>
      <c r="C126" s="9">
        <v>576</v>
      </c>
      <c r="D126" s="9">
        <v>80</v>
      </c>
      <c r="E126" s="9">
        <f>Table2[[#This Row],[New_Followers]]-Table2[[#This Row],[Unfollows]]</f>
        <v>496</v>
      </c>
      <c r="F126" s="9">
        <v>345688</v>
      </c>
      <c r="G126" s="9">
        <v>4.1100000000000003</v>
      </c>
      <c r="H126" s="73">
        <v>20474</v>
      </c>
      <c r="I126" s="81">
        <f>(Table2[[#This Row],[Total_Followers]]-F123)/F123</f>
        <v>0.77281352246735802</v>
      </c>
      <c r="J126" s="9" t="str" cm="1">
        <f t="array" ref="J126">IFERROR(INDEX(Table3[[#All],[Campaign_Name]],MATCH(1,(Table2[[#This Row],[Week_Start_Date]]&gt;=Table3[[#All],[Start_Date]])*(Table2[[#This Row],[Week_Start_Date]]&lt;=Table3[[#All],[End_Date]]),0)),"No Campign")</f>
        <v>IndieWave</v>
      </c>
      <c r="K126" s="109">
        <f>Table2[[#This Row],[Engagement_Rate]]/Table2[[#This Row],[Ad_Spend]]</f>
        <v>2.0074240500146529E-4</v>
      </c>
    </row>
    <row r="127" spans="1:11">
      <c r="A127" s="10">
        <v>45733</v>
      </c>
      <c r="B127" s="1" t="s">
        <v>28</v>
      </c>
      <c r="C127" s="9">
        <v>1274</v>
      </c>
      <c r="D127" s="9">
        <v>146</v>
      </c>
      <c r="E127" s="9">
        <f>Table2[[#This Row],[New_Followers]]-Table2[[#This Row],[Unfollows]]</f>
        <v>1128</v>
      </c>
      <c r="F127" s="9">
        <v>263488</v>
      </c>
      <c r="G127" s="9">
        <v>9.58</v>
      </c>
      <c r="H127" s="73">
        <v>8698</v>
      </c>
      <c r="I127" s="81">
        <f>(Table2[[#This Row],[Total_Followers]]-F124)/F124</f>
        <v>-0.22674101247248715</v>
      </c>
      <c r="J127" s="9" t="str" cm="1">
        <f t="array" ref="J127">IFERROR(INDEX(Table3[[#All],[Campaign_Name]],MATCH(1,(Table2[[#This Row],[Week_Start_Date]]&gt;=Table3[[#All],[Start_Date]])*(Table2[[#This Row],[Week_Start_Date]]&lt;=Table3[[#All],[End_Date]]),0)),"No Campign")</f>
        <v>IndieWave</v>
      </c>
      <c r="K127" s="109">
        <f>Table2[[#This Row],[Engagement_Rate]]/Table2[[#This Row],[Ad_Spend]]</f>
        <v>1.1014026212922512E-3</v>
      </c>
    </row>
    <row r="128" spans="1:11">
      <c r="A128" s="10">
        <v>45740</v>
      </c>
      <c r="B128" s="1" t="s">
        <v>13</v>
      </c>
      <c r="C128" s="9">
        <v>818</v>
      </c>
      <c r="D128" s="9">
        <v>253</v>
      </c>
      <c r="E128" s="9">
        <f>Table2[[#This Row],[New_Followers]]-Table2[[#This Row],[Unfollows]]</f>
        <v>565</v>
      </c>
      <c r="F128" s="9">
        <v>184911</v>
      </c>
      <c r="G128" s="9">
        <v>3.39</v>
      </c>
      <c r="H128" s="73">
        <v>10402</v>
      </c>
      <c r="I128" s="81">
        <f>(Table2[[#This Row],[Total_Followers]]-F125)/F125</f>
        <v>-0.37536609341589228</v>
      </c>
      <c r="J128" s="9" t="str" cm="1">
        <f t="array" ref="J128">IFERROR(INDEX(Table3[[#All],[Campaign_Name]],MATCH(1,(Table2[[#This Row],[Week_Start_Date]]&gt;=Table3[[#All],[Start_Date]])*(Table2[[#This Row],[Week_Start_Date]]&lt;=Table3[[#All],[End_Date]]),0)),"No Campign")</f>
        <v>IndieWave</v>
      </c>
      <c r="K128" s="109">
        <f>Table2[[#This Row],[Engagement_Rate]]/Table2[[#This Row],[Ad_Spend]]</f>
        <v>3.2589886560276869E-4</v>
      </c>
    </row>
    <row r="129" spans="1:11">
      <c r="A129" s="10">
        <v>45740</v>
      </c>
      <c r="B129" s="1" t="s">
        <v>22</v>
      </c>
      <c r="C129" s="9">
        <v>975</v>
      </c>
      <c r="D129" s="9">
        <v>162</v>
      </c>
      <c r="E129" s="9">
        <f>Table2[[#This Row],[New_Followers]]-Table2[[#This Row],[Unfollows]]</f>
        <v>813</v>
      </c>
      <c r="F129" s="9">
        <v>124497</v>
      </c>
      <c r="G129" s="9">
        <v>9.58</v>
      </c>
      <c r="H129" s="73">
        <v>26618</v>
      </c>
      <c r="I129" s="81">
        <f>(Table2[[#This Row],[Total_Followers]]-F126)/F126</f>
        <v>-0.63985732799518646</v>
      </c>
      <c r="J129" s="9" t="str" cm="1">
        <f t="array" ref="J129">IFERROR(INDEX(Table3[[#All],[Campaign_Name]],MATCH(1,(Table2[[#This Row],[Week_Start_Date]]&gt;=Table3[[#All],[Start_Date]])*(Table2[[#This Row],[Week_Start_Date]]&lt;=Table3[[#All],[End_Date]]),0)),"No Campign")</f>
        <v>IndieWave</v>
      </c>
      <c r="K129" s="109">
        <f>Table2[[#This Row],[Engagement_Rate]]/Table2[[#This Row],[Ad_Spend]]</f>
        <v>3.5990682996468558E-4</v>
      </c>
    </row>
    <row r="130" spans="1:11">
      <c r="A130" s="10">
        <v>45740</v>
      </c>
      <c r="B130" s="1" t="s">
        <v>28</v>
      </c>
      <c r="C130" s="9">
        <v>1398</v>
      </c>
      <c r="D130" s="9">
        <v>97</v>
      </c>
      <c r="E130" s="9">
        <f>Table2[[#This Row],[New_Followers]]-Table2[[#This Row],[Unfollows]]</f>
        <v>1301</v>
      </c>
      <c r="F130" s="9">
        <v>397607</v>
      </c>
      <c r="G130" s="9">
        <v>5.09</v>
      </c>
      <c r="H130" s="73">
        <v>7975</v>
      </c>
      <c r="I130" s="81">
        <f>(Table2[[#This Row],[Total_Followers]]-F127)/F127</f>
        <v>0.50901369322322076</v>
      </c>
      <c r="J130" s="9" t="str" cm="1">
        <f t="array" ref="J130">IFERROR(INDEX(Table3[[#All],[Campaign_Name]],MATCH(1,(Table2[[#This Row],[Week_Start_Date]]&gt;=Table3[[#All],[Start_Date]])*(Table2[[#This Row],[Week_Start_Date]]&lt;=Table3[[#All],[End_Date]]),0)),"No Campign")</f>
        <v>IndieWave</v>
      </c>
      <c r="K130" s="109">
        <f>Table2[[#This Row],[Engagement_Rate]]/Table2[[#This Row],[Ad_Spend]]</f>
        <v>6.3824451410658309E-4</v>
      </c>
    </row>
    <row r="131" spans="1:11">
      <c r="A131" s="10">
        <v>45747</v>
      </c>
      <c r="B131" s="1" t="s">
        <v>13</v>
      </c>
      <c r="C131" s="9">
        <v>591</v>
      </c>
      <c r="D131" s="9">
        <v>155</v>
      </c>
      <c r="E131" s="9">
        <f>Table2[[#This Row],[New_Followers]]-Table2[[#This Row],[Unfollows]]</f>
        <v>436</v>
      </c>
      <c r="F131" s="9">
        <v>138521</v>
      </c>
      <c r="G131" s="9">
        <v>7.85</v>
      </c>
      <c r="H131" s="73">
        <v>19054</v>
      </c>
      <c r="I131" s="81">
        <f>(Table2[[#This Row],[Total_Followers]]-F128)/F128</f>
        <v>-0.25087744915121329</v>
      </c>
      <c r="J131" s="9" t="str" cm="1">
        <f t="array" ref="J131">IFERROR(INDEX(Table3[[#All],[Campaign_Name]],MATCH(1,(Table2[[#This Row],[Week_Start_Date]]&gt;=Table3[[#All],[Start_Date]])*(Table2[[#This Row],[Week_Start_Date]]&lt;=Table3[[#All],[End_Date]]),0)),"No Campign")</f>
        <v>IndieWave</v>
      </c>
      <c r="K131" s="109">
        <f>Table2[[#This Row],[Engagement_Rate]]/Table2[[#This Row],[Ad_Spend]]</f>
        <v>4.119869843602393E-4</v>
      </c>
    </row>
    <row r="132" spans="1:11">
      <c r="A132" s="10">
        <v>45747</v>
      </c>
      <c r="B132" s="1" t="s">
        <v>22</v>
      </c>
      <c r="C132" s="9">
        <v>1232</v>
      </c>
      <c r="D132" s="9">
        <v>254</v>
      </c>
      <c r="E132" s="9">
        <f>Table2[[#This Row],[New_Followers]]-Table2[[#This Row],[Unfollows]]</f>
        <v>978</v>
      </c>
      <c r="F132" s="9">
        <v>107718</v>
      </c>
      <c r="G132" s="9">
        <v>9.7100000000000009</v>
      </c>
      <c r="H132" s="73">
        <v>13740</v>
      </c>
      <c r="I132" s="81">
        <f>(Table2[[#This Row],[Total_Followers]]-F129)/F129</f>
        <v>-0.13477433191161234</v>
      </c>
      <c r="J132" s="9" t="str" cm="1">
        <f t="array" ref="J132">IFERROR(INDEX(Table3[[#All],[Campaign_Name]],MATCH(1,(Table2[[#This Row],[Week_Start_Date]]&gt;=Table3[[#All],[Start_Date]])*(Table2[[#This Row],[Week_Start_Date]]&lt;=Table3[[#All],[End_Date]]),0)),"No Campign")</f>
        <v>IndieWave</v>
      </c>
      <c r="K132" s="109">
        <f>Table2[[#This Row],[Engagement_Rate]]/Table2[[#This Row],[Ad_Spend]]</f>
        <v>7.0669577874818055E-4</v>
      </c>
    </row>
    <row r="133" spans="1:11">
      <c r="A133" s="10">
        <v>45747</v>
      </c>
      <c r="B133" s="1" t="s">
        <v>28</v>
      </c>
      <c r="C133" s="9">
        <v>1425</v>
      </c>
      <c r="D133" s="9">
        <v>58</v>
      </c>
      <c r="E133" s="9">
        <f>Table2[[#This Row],[New_Followers]]-Table2[[#This Row],[Unfollows]]</f>
        <v>1367</v>
      </c>
      <c r="F133" s="9">
        <v>202234</v>
      </c>
      <c r="G133" s="9">
        <v>6.67</v>
      </c>
      <c r="H133" s="73">
        <v>18442</v>
      </c>
      <c r="I133" s="81">
        <f>(Table2[[#This Row],[Total_Followers]]-F130)/F130</f>
        <v>-0.49137213379040107</v>
      </c>
      <c r="J133" s="9" t="str" cm="1">
        <f t="array" ref="J133">IFERROR(INDEX(Table3[[#All],[Campaign_Name]],MATCH(1,(Table2[[#This Row],[Week_Start_Date]]&gt;=Table3[[#All],[Start_Date]])*(Table2[[#This Row],[Week_Start_Date]]&lt;=Table3[[#All],[End_Date]]),0)),"No Campign")</f>
        <v>IndieWave</v>
      </c>
      <c r="K133" s="109">
        <f>Table2[[#This Row],[Engagement_Rate]]/Table2[[#This Row],[Ad_Spend]]</f>
        <v>3.6167443878104327E-4</v>
      </c>
    </row>
    <row r="134" spans="1:11">
      <c r="A134" s="10">
        <v>45754</v>
      </c>
      <c r="B134" s="1" t="s">
        <v>13</v>
      </c>
      <c r="C134" s="9">
        <v>1417</v>
      </c>
      <c r="D134" s="9">
        <v>80</v>
      </c>
      <c r="E134" s="9">
        <f>Table2[[#This Row],[New_Followers]]-Table2[[#This Row],[Unfollows]]</f>
        <v>1337</v>
      </c>
      <c r="F134" s="9">
        <v>340987</v>
      </c>
      <c r="G134" s="9">
        <v>6.13</v>
      </c>
      <c r="H134" s="73">
        <v>10104</v>
      </c>
      <c r="I134" s="81">
        <f>(Table2[[#This Row],[Total_Followers]]-F131)/F131</f>
        <v>1.4616267569538193</v>
      </c>
      <c r="J134" s="9" t="str" cm="1">
        <f t="array" ref="J134">IFERROR(INDEX(Table3[[#All],[Campaign_Name]],MATCH(1,(Table2[[#This Row],[Week_Start_Date]]&gt;=Table3[[#All],[Start_Date]])*(Table2[[#This Row],[Week_Start_Date]]&lt;=Table3[[#All],[End_Date]]),0)),"No Campign")</f>
        <v>No Campign</v>
      </c>
      <c r="K134" s="109">
        <f>Table2[[#This Row],[Engagement_Rate]]/Table2[[#This Row],[Ad_Spend]]</f>
        <v>6.0669041963578782E-4</v>
      </c>
    </row>
    <row r="135" spans="1:11">
      <c r="A135" s="10">
        <v>45754</v>
      </c>
      <c r="B135" s="1" t="s">
        <v>22</v>
      </c>
      <c r="C135" s="9">
        <v>1222</v>
      </c>
      <c r="D135" s="9">
        <v>208</v>
      </c>
      <c r="E135" s="9">
        <f>Table2[[#This Row],[New_Followers]]-Table2[[#This Row],[Unfollows]]</f>
        <v>1014</v>
      </c>
      <c r="F135" s="9">
        <v>340098</v>
      </c>
      <c r="G135" s="9">
        <v>7.34</v>
      </c>
      <c r="H135" s="73">
        <v>21771</v>
      </c>
      <c r="I135" s="81">
        <f>(Table2[[#This Row],[Total_Followers]]-F132)/F132</f>
        <v>2.1572996156631206</v>
      </c>
      <c r="J135" s="9" t="str" cm="1">
        <f t="array" ref="J135">IFERROR(INDEX(Table3[[#All],[Campaign_Name]],MATCH(1,(Table2[[#This Row],[Week_Start_Date]]&gt;=Table3[[#All],[Start_Date]])*(Table2[[#This Row],[Week_Start_Date]]&lt;=Table3[[#All],[End_Date]]),0)),"No Campign")</f>
        <v>No Campign</v>
      </c>
      <c r="K135" s="109">
        <f>Table2[[#This Row],[Engagement_Rate]]/Table2[[#This Row],[Ad_Spend]]</f>
        <v>3.3714574433879932E-4</v>
      </c>
    </row>
    <row r="136" spans="1:11">
      <c r="A136" s="10">
        <v>45754</v>
      </c>
      <c r="B136" s="1" t="s">
        <v>28</v>
      </c>
      <c r="C136" s="9">
        <v>1071</v>
      </c>
      <c r="D136" s="9">
        <v>131</v>
      </c>
      <c r="E136" s="9">
        <f>Table2[[#This Row],[New_Followers]]-Table2[[#This Row],[Unfollows]]</f>
        <v>940</v>
      </c>
      <c r="F136" s="9">
        <v>254727</v>
      </c>
      <c r="G136" s="9">
        <v>6.87</v>
      </c>
      <c r="H136" s="73">
        <v>22191</v>
      </c>
      <c r="I136" s="81">
        <f>(Table2[[#This Row],[Total_Followers]]-F133)/F133</f>
        <v>0.25956565167083673</v>
      </c>
      <c r="J136" s="9" t="str" cm="1">
        <f t="array" ref="J136">IFERROR(INDEX(Table3[[#All],[Campaign_Name]],MATCH(1,(Table2[[#This Row],[Week_Start_Date]]&gt;=Table3[[#All],[Start_Date]])*(Table2[[#This Row],[Week_Start_Date]]&lt;=Table3[[#All],[End_Date]]),0)),"No Campign")</f>
        <v>No Campign</v>
      </c>
      <c r="K136" s="109">
        <f>Table2[[#This Row],[Engagement_Rate]]/Table2[[#This Row],[Ad_Spend]]</f>
        <v>3.0958496687846424E-4</v>
      </c>
    </row>
    <row r="137" spans="1:11">
      <c r="A137" s="10">
        <v>45761</v>
      </c>
      <c r="B137" s="1" t="s">
        <v>13</v>
      </c>
      <c r="C137" s="9">
        <v>772</v>
      </c>
      <c r="D137" s="9">
        <v>82</v>
      </c>
      <c r="E137" s="9">
        <f>Table2[[#This Row],[New_Followers]]-Table2[[#This Row],[Unfollows]]</f>
        <v>690</v>
      </c>
      <c r="F137" s="9">
        <v>345659</v>
      </c>
      <c r="G137" s="9">
        <v>3.52</v>
      </c>
      <c r="H137" s="73">
        <v>27753</v>
      </c>
      <c r="I137" s="81">
        <f>(Table2[[#This Row],[Total_Followers]]-F134)/F134</f>
        <v>1.3701402106238655E-2</v>
      </c>
      <c r="J137" s="9" t="str" cm="1">
        <f t="array" ref="J137">IFERROR(INDEX(Table3[[#All],[Campaign_Name]],MATCH(1,(Table2[[#This Row],[Week_Start_Date]]&gt;=Table3[[#All],[Start_Date]])*(Table2[[#This Row],[Week_Start_Date]]&lt;=Table3[[#All],[End_Date]]),0)),"No Campign")</f>
        <v>No Campign</v>
      </c>
      <c r="K137" s="109">
        <f>Table2[[#This Row],[Engagement_Rate]]/Table2[[#This Row],[Ad_Spend]]</f>
        <v>1.2683313515655966E-4</v>
      </c>
    </row>
    <row r="138" spans="1:11">
      <c r="A138" s="10">
        <v>45761</v>
      </c>
      <c r="B138" s="1" t="s">
        <v>22</v>
      </c>
      <c r="C138" s="9">
        <v>1472</v>
      </c>
      <c r="D138" s="9">
        <v>137</v>
      </c>
      <c r="E138" s="9">
        <f>Table2[[#This Row],[New_Followers]]-Table2[[#This Row],[Unfollows]]</f>
        <v>1335</v>
      </c>
      <c r="F138" s="9">
        <v>213950</v>
      </c>
      <c r="G138" s="9">
        <v>6.96</v>
      </c>
      <c r="H138" s="73">
        <v>23736</v>
      </c>
      <c r="I138" s="81">
        <f>(Table2[[#This Row],[Total_Followers]]-F135)/F135</f>
        <v>-0.37091661815123877</v>
      </c>
      <c r="J138" s="9" t="str" cm="1">
        <f t="array" ref="J138">IFERROR(INDEX(Table3[[#All],[Campaign_Name]],MATCH(1,(Table2[[#This Row],[Week_Start_Date]]&gt;=Table3[[#All],[Start_Date]])*(Table2[[#This Row],[Week_Start_Date]]&lt;=Table3[[#All],[End_Date]]),0)),"No Campign")</f>
        <v>No Campign</v>
      </c>
      <c r="K138" s="109">
        <f>Table2[[#This Row],[Engagement_Rate]]/Table2[[#This Row],[Ad_Spend]]</f>
        <v>2.9322548028311426E-4</v>
      </c>
    </row>
    <row r="139" spans="1:11">
      <c r="A139" s="10">
        <v>45761</v>
      </c>
      <c r="B139" s="1" t="s">
        <v>28</v>
      </c>
      <c r="C139" s="9">
        <v>1472</v>
      </c>
      <c r="D139" s="9">
        <v>281</v>
      </c>
      <c r="E139" s="9">
        <f>Table2[[#This Row],[New_Followers]]-Table2[[#This Row],[Unfollows]]</f>
        <v>1191</v>
      </c>
      <c r="F139" s="9">
        <v>258115</v>
      </c>
      <c r="G139" s="9">
        <v>7.23</v>
      </c>
      <c r="H139" s="73">
        <v>27393</v>
      </c>
      <c r="I139" s="81">
        <f>(Table2[[#This Row],[Total_Followers]]-F136)/F136</f>
        <v>1.3300513883490954E-2</v>
      </c>
      <c r="J139" s="9" t="str" cm="1">
        <f t="array" ref="J139">IFERROR(INDEX(Table3[[#All],[Campaign_Name]],MATCH(1,(Table2[[#This Row],[Week_Start_Date]]&gt;=Table3[[#All],[Start_Date]])*(Table2[[#This Row],[Week_Start_Date]]&lt;=Table3[[#All],[End_Date]]),0)),"No Campign")</f>
        <v>No Campign</v>
      </c>
      <c r="K139" s="109">
        <f>Table2[[#This Row],[Engagement_Rate]]/Table2[[#This Row],[Ad_Spend]]</f>
        <v>2.6393604205453947E-4</v>
      </c>
    </row>
    <row r="140" spans="1:11">
      <c r="A140" s="10">
        <v>45768</v>
      </c>
      <c r="B140" s="1" t="s">
        <v>13</v>
      </c>
      <c r="C140" s="9">
        <v>585</v>
      </c>
      <c r="D140" s="9">
        <v>232</v>
      </c>
      <c r="E140" s="9">
        <f>Table2[[#This Row],[New_Followers]]-Table2[[#This Row],[Unfollows]]</f>
        <v>353</v>
      </c>
      <c r="F140" s="9">
        <v>321258</v>
      </c>
      <c r="G140" s="9">
        <v>7.42</v>
      </c>
      <c r="H140" s="73">
        <v>10343</v>
      </c>
      <c r="I140" s="81">
        <f>(Table2[[#This Row],[Total_Followers]]-F137)/F137</f>
        <v>-7.059269395560365E-2</v>
      </c>
      <c r="J140" s="9" t="str" cm="1">
        <f t="array" ref="J140">IFERROR(INDEX(Table3[[#All],[Campaign_Name]],MATCH(1,(Table2[[#This Row],[Week_Start_Date]]&gt;=Table3[[#All],[Start_Date]])*(Table2[[#This Row],[Week_Start_Date]]&lt;=Table3[[#All],[End_Date]]),0)),"No Campign")</f>
        <v>No Campign</v>
      </c>
      <c r="K140" s="109">
        <f>Table2[[#This Row],[Engagement_Rate]]/Table2[[#This Row],[Ad_Spend]]</f>
        <v>7.1739340616842309E-4</v>
      </c>
    </row>
    <row r="141" spans="1:11">
      <c r="A141" s="10">
        <v>45768</v>
      </c>
      <c r="B141" s="1" t="s">
        <v>22</v>
      </c>
      <c r="C141" s="9">
        <v>747</v>
      </c>
      <c r="D141" s="9">
        <v>261</v>
      </c>
      <c r="E141" s="9">
        <f>Table2[[#This Row],[New_Followers]]-Table2[[#This Row],[Unfollows]]</f>
        <v>486</v>
      </c>
      <c r="F141" s="9">
        <v>338650</v>
      </c>
      <c r="G141" s="9">
        <v>7.73</v>
      </c>
      <c r="H141" s="73">
        <v>25259</v>
      </c>
      <c r="I141" s="81">
        <f>(Table2[[#This Row],[Total_Followers]]-F138)/F138</f>
        <v>0.58284645945314328</v>
      </c>
      <c r="J141" s="9" t="str" cm="1">
        <f t="array" ref="J141">IFERROR(INDEX(Table3[[#All],[Campaign_Name]],MATCH(1,(Table2[[#This Row],[Week_Start_Date]]&gt;=Table3[[#All],[Start_Date]])*(Table2[[#This Row],[Week_Start_Date]]&lt;=Table3[[#All],[End_Date]]),0)),"No Campign")</f>
        <v>No Campign</v>
      </c>
      <c r="K141" s="109">
        <f>Table2[[#This Row],[Engagement_Rate]]/Table2[[#This Row],[Ad_Spend]]</f>
        <v>3.0602953402747538E-4</v>
      </c>
    </row>
    <row r="142" spans="1:11">
      <c r="A142" s="10">
        <v>45768</v>
      </c>
      <c r="B142" s="1" t="s">
        <v>28</v>
      </c>
      <c r="C142" s="9">
        <v>1113</v>
      </c>
      <c r="D142" s="9">
        <v>224</v>
      </c>
      <c r="E142" s="9">
        <f>Table2[[#This Row],[New_Followers]]-Table2[[#This Row],[Unfollows]]</f>
        <v>889</v>
      </c>
      <c r="F142" s="9">
        <v>272989</v>
      </c>
      <c r="G142" s="9">
        <v>5.13</v>
      </c>
      <c r="H142" s="73">
        <v>24827</v>
      </c>
      <c r="I142" s="81">
        <f>(Table2[[#This Row],[Total_Followers]]-F139)/F139</f>
        <v>5.7625477016058732E-2</v>
      </c>
      <c r="J142" s="9" t="str" cm="1">
        <f t="array" ref="J142">IFERROR(INDEX(Table3[[#All],[Campaign_Name]],MATCH(1,(Table2[[#This Row],[Week_Start_Date]]&gt;=Table3[[#All],[Start_Date]])*(Table2[[#This Row],[Week_Start_Date]]&lt;=Table3[[#All],[End_Date]]),0)),"No Campign")</f>
        <v>No Campign</v>
      </c>
      <c r="K142" s="109">
        <f>Table2[[#This Row],[Engagement_Rate]]/Table2[[#This Row],[Ad_Spend]]</f>
        <v>2.066298787610263E-4</v>
      </c>
    </row>
    <row r="143" spans="1:11">
      <c r="A143" s="10">
        <v>45775</v>
      </c>
      <c r="B143" s="1" t="s">
        <v>13</v>
      </c>
      <c r="C143" s="9">
        <v>1100</v>
      </c>
      <c r="D143" s="9">
        <v>117</v>
      </c>
      <c r="E143" s="9">
        <f>Table2[[#This Row],[New_Followers]]-Table2[[#This Row],[Unfollows]]</f>
        <v>983</v>
      </c>
      <c r="F143" s="9">
        <v>260204</v>
      </c>
      <c r="G143" s="9">
        <v>4.4000000000000004</v>
      </c>
      <c r="H143" s="73">
        <v>11908</v>
      </c>
      <c r="I143" s="81">
        <f>(Table2[[#This Row],[Total_Followers]]-F140)/F140</f>
        <v>-0.19004662918900075</v>
      </c>
      <c r="J143" s="9" t="str" cm="1">
        <f t="array" ref="J143">IFERROR(INDEX(Table3[[#All],[Campaign_Name]],MATCH(1,(Table2[[#This Row],[Week_Start_Date]]&gt;=Table3[[#All],[Start_Date]])*(Table2[[#This Row],[Week_Start_Date]]&lt;=Table3[[#All],[End_Date]]),0)),"No Campign")</f>
        <v>No Campign</v>
      </c>
      <c r="K143" s="109">
        <f>Table2[[#This Row],[Engagement_Rate]]/Table2[[#This Row],[Ad_Spend]]</f>
        <v>3.6949949613705073E-4</v>
      </c>
    </row>
    <row r="144" spans="1:11">
      <c r="A144" s="10">
        <v>45775</v>
      </c>
      <c r="B144" s="1" t="s">
        <v>22</v>
      </c>
      <c r="C144" s="9">
        <v>751</v>
      </c>
      <c r="D144" s="9">
        <v>170</v>
      </c>
      <c r="E144" s="9">
        <f>Table2[[#This Row],[New_Followers]]-Table2[[#This Row],[Unfollows]]</f>
        <v>581</v>
      </c>
      <c r="F144" s="9">
        <v>283278</v>
      </c>
      <c r="G144" s="9">
        <v>3.49</v>
      </c>
      <c r="H144" s="73">
        <v>11005</v>
      </c>
      <c r="I144" s="81">
        <f>(Table2[[#This Row],[Total_Followers]]-F141)/F141</f>
        <v>-0.16350804665583937</v>
      </c>
      <c r="J144" s="9" t="str" cm="1">
        <f t="array" ref="J144">IFERROR(INDEX(Table3[[#All],[Campaign_Name]],MATCH(1,(Table2[[#This Row],[Week_Start_Date]]&gt;=Table3[[#All],[Start_Date]])*(Table2[[#This Row],[Week_Start_Date]]&lt;=Table3[[#All],[End_Date]]),0)),"No Campign")</f>
        <v>No Campign</v>
      </c>
      <c r="K144" s="109">
        <f>Table2[[#This Row],[Engagement_Rate]]/Table2[[#This Row],[Ad_Spend]]</f>
        <v>3.1712857791912766E-4</v>
      </c>
    </row>
    <row r="145" spans="1:11">
      <c r="A145" s="10">
        <v>45775</v>
      </c>
      <c r="B145" s="1" t="s">
        <v>28</v>
      </c>
      <c r="C145" s="9">
        <v>864</v>
      </c>
      <c r="D145" s="9">
        <v>50</v>
      </c>
      <c r="E145" s="9">
        <f>Table2[[#This Row],[New_Followers]]-Table2[[#This Row],[Unfollows]]</f>
        <v>814</v>
      </c>
      <c r="F145" s="9">
        <v>277445</v>
      </c>
      <c r="G145" s="9">
        <v>3.57</v>
      </c>
      <c r="H145" s="73">
        <v>26333</v>
      </c>
      <c r="I145" s="81">
        <f>(Table2[[#This Row],[Total_Followers]]-F142)/F142</f>
        <v>1.6323002025722649E-2</v>
      </c>
      <c r="J145" s="9" t="str" cm="1">
        <f t="array" ref="J145">IFERROR(INDEX(Table3[[#All],[Campaign_Name]],MATCH(1,(Table2[[#This Row],[Week_Start_Date]]&gt;=Table3[[#All],[Start_Date]])*(Table2[[#This Row],[Week_Start_Date]]&lt;=Table3[[#All],[End_Date]]),0)),"No Campign")</f>
        <v>No Campign</v>
      </c>
      <c r="K145" s="109">
        <f>Table2[[#This Row],[Engagement_Rate]]/Table2[[#This Row],[Ad_Spend]]</f>
        <v>1.3557133634602969E-4</v>
      </c>
    </row>
    <row r="146" spans="1:11">
      <c r="A146" s="10"/>
      <c r="B146" s="1"/>
      <c r="C146" s="9"/>
      <c r="D146" s="9"/>
      <c r="E146" s="9"/>
      <c r="F146" s="9"/>
      <c r="G146" s="9"/>
      <c r="H146" s="73"/>
      <c r="I146" s="81"/>
      <c r="J146" s="9"/>
      <c r="K146" s="109"/>
    </row>
    <row r="147" spans="1:11">
      <c r="A147" s="10">
        <v>45782</v>
      </c>
      <c r="B147" s="1" t="s">
        <v>22</v>
      </c>
      <c r="C147" s="9">
        <v>883</v>
      </c>
      <c r="D147" s="9">
        <v>207</v>
      </c>
      <c r="E147" s="9">
        <f>Table2[[#This Row],[New_Followers]]-Table2[[#This Row],[Unfollows]]</f>
        <v>676</v>
      </c>
      <c r="F147" s="9">
        <v>265019</v>
      </c>
      <c r="G147" s="9">
        <v>6.04</v>
      </c>
      <c r="H147" s="73">
        <v>15655</v>
      </c>
      <c r="I147" s="81">
        <f>(Table2[[#This Row],[Total_Followers]]-F144)/F144</f>
        <v>-6.4456117312322175E-2</v>
      </c>
      <c r="J147" s="9" t="str" cm="1">
        <f t="array" ref="J147">IFERROR(INDEX(Table3[[#All],[Campaign_Name]],MATCH(1,(Table2[[#This Row],[Week_Start_Date]]&gt;=Table3[[#All],[Start_Date]])*(Table2[[#This Row],[Week_Start_Date]]&lt;=Table3[[#All],[End_Date]]),0)),"No Campign")</f>
        <v>No Campign</v>
      </c>
      <c r="K147" s="109">
        <f>Table2[[#This Row],[Engagement_Rate]]/Table2[[#This Row],[Ad_Spend]]</f>
        <v>3.8581922708399871E-4</v>
      </c>
    </row>
    <row r="148" spans="1:11">
      <c r="A148" s="10">
        <v>45782</v>
      </c>
      <c r="B148" s="1" t="s">
        <v>28</v>
      </c>
      <c r="C148" s="9">
        <v>622</v>
      </c>
      <c r="D148" s="9">
        <v>163</v>
      </c>
      <c r="E148" s="9">
        <f>Table2[[#This Row],[New_Followers]]-Table2[[#This Row],[Unfollows]]</f>
        <v>459</v>
      </c>
      <c r="F148" s="9">
        <v>231925</v>
      </c>
      <c r="G148" s="9">
        <v>9.18</v>
      </c>
      <c r="H148" s="73">
        <v>13763</v>
      </c>
      <c r="I148" s="81">
        <f>(Table2[[#This Row],[Total_Followers]]-F145)/F145</f>
        <v>-0.16406855412784516</v>
      </c>
      <c r="J148" s="9" t="str" cm="1">
        <f t="array" ref="J148">IFERROR(INDEX(Table3[[#All],[Campaign_Name]],MATCH(1,(Table2[[#This Row],[Week_Start_Date]]&gt;=Table3[[#All],[Start_Date]])*(Table2[[#This Row],[Week_Start_Date]]&lt;=Table3[[#All],[End_Date]]),0)),"No Campign")</f>
        <v>No Campign</v>
      </c>
      <c r="K148" s="109">
        <f>Table2[[#This Row],[Engagement_Rate]]/Table2[[#This Row],[Ad_Spend]]</f>
        <v>6.6700574002761029E-4</v>
      </c>
    </row>
    <row r="149" spans="1:11">
      <c r="A149" s="10">
        <v>45789</v>
      </c>
      <c r="B149" s="1" t="s">
        <v>13</v>
      </c>
      <c r="C149" s="9">
        <v>837</v>
      </c>
      <c r="D149" s="9">
        <v>261</v>
      </c>
      <c r="E149" s="9">
        <f>Table2[[#This Row],[New_Followers]]-Table2[[#This Row],[Unfollows]]</f>
        <v>576</v>
      </c>
      <c r="F149" s="9">
        <v>366149</v>
      </c>
      <c r="G149" s="9">
        <v>6.54</v>
      </c>
      <c r="H149" s="73">
        <v>26073</v>
      </c>
      <c r="I149" s="81" t="e">
        <f>(Table2[[#This Row],[Total_Followers]]-F146)/F146</f>
        <v>#DIV/0!</v>
      </c>
      <c r="J149" s="9" t="str" cm="1">
        <f t="array" ref="J149">IFERROR(INDEX(Table3[[#All],[Campaign_Name]],MATCH(1,(Table2[[#This Row],[Week_Start_Date]]&gt;=Table3[[#All],[Start_Date]])*(Table2[[#This Row],[Week_Start_Date]]&lt;=Table3[[#All],[End_Date]]),0)),"No Campign")</f>
        <v>No Campign</v>
      </c>
      <c r="K149" s="109">
        <f>Table2[[#This Row],[Engagement_Rate]]/Table2[[#This Row],[Ad_Spend]]</f>
        <v>2.5083419629501786E-4</v>
      </c>
    </row>
    <row r="150" spans="1:11">
      <c r="A150" s="10">
        <v>45789</v>
      </c>
      <c r="B150" s="1" t="s">
        <v>22</v>
      </c>
      <c r="C150" s="9">
        <v>544</v>
      </c>
      <c r="D150" s="9">
        <v>97</v>
      </c>
      <c r="E150" s="9">
        <f>Table2[[#This Row],[New_Followers]]-Table2[[#This Row],[Unfollows]]</f>
        <v>447</v>
      </c>
      <c r="F150" s="9">
        <v>168375</v>
      </c>
      <c r="G150" s="9">
        <v>8.66</v>
      </c>
      <c r="H150" s="73">
        <v>12774</v>
      </c>
      <c r="I150" s="81">
        <f>(Table2[[#This Row],[Total_Followers]]-F147)/F147</f>
        <v>-0.3646681936012135</v>
      </c>
      <c r="J150" s="9" t="str" cm="1">
        <f t="array" ref="J150">IFERROR(INDEX(Table3[[#All],[Campaign_Name]],MATCH(1,(Table2[[#This Row],[Week_Start_Date]]&gt;=Table3[[#All],[Start_Date]])*(Table2[[#This Row],[Week_Start_Date]]&lt;=Table3[[#All],[End_Date]]),0)),"No Campign")</f>
        <v>No Campign</v>
      </c>
      <c r="K150" s="109">
        <f>Table2[[#This Row],[Engagement_Rate]]/Table2[[#This Row],[Ad_Spend]]</f>
        <v>6.7793956474087994E-4</v>
      </c>
    </row>
    <row r="151" spans="1:11">
      <c r="A151" s="10">
        <v>45789</v>
      </c>
      <c r="B151" s="1" t="s">
        <v>28</v>
      </c>
      <c r="C151" s="9">
        <v>624</v>
      </c>
      <c r="D151" s="9">
        <v>247</v>
      </c>
      <c r="E151" s="9">
        <f>Table2[[#This Row],[New_Followers]]-Table2[[#This Row],[Unfollows]]</f>
        <v>377</v>
      </c>
      <c r="F151" s="9">
        <v>252763</v>
      </c>
      <c r="G151" s="9">
        <v>3.89</v>
      </c>
      <c r="H151" s="73">
        <v>19000</v>
      </c>
      <c r="I151" s="81">
        <f>(Table2[[#This Row],[Total_Followers]]-F148)/F148</f>
        <v>8.9848011210520648E-2</v>
      </c>
      <c r="J151" s="9" t="str" cm="1">
        <f t="array" ref="J151">IFERROR(INDEX(Table3[[#All],[Campaign_Name]],MATCH(1,(Table2[[#This Row],[Week_Start_Date]]&gt;=Table3[[#All],[Start_Date]])*(Table2[[#This Row],[Week_Start_Date]]&lt;=Table3[[#All],[End_Date]]),0)),"No Campign")</f>
        <v>No Campign</v>
      </c>
      <c r="K151" s="109">
        <f>Table2[[#This Row],[Engagement_Rate]]/Table2[[#This Row],[Ad_Spend]]</f>
        <v>2.0473684210526317E-4</v>
      </c>
    </row>
    <row r="152" spans="1:11">
      <c r="A152" s="10">
        <v>45796</v>
      </c>
      <c r="B152" s="1" t="s">
        <v>13</v>
      </c>
      <c r="C152" s="9">
        <v>1073</v>
      </c>
      <c r="D152" s="9">
        <v>141</v>
      </c>
      <c r="E152" s="9">
        <f>Table2[[#This Row],[New_Followers]]-Table2[[#This Row],[Unfollows]]</f>
        <v>932</v>
      </c>
      <c r="F152" s="9">
        <v>118393</v>
      </c>
      <c r="G152" s="9">
        <v>7.95</v>
      </c>
      <c r="H152" s="73">
        <v>14051</v>
      </c>
      <c r="I152" s="81">
        <f>(Table2[[#This Row],[Total_Followers]]-F149)/F149</f>
        <v>-0.67665349352312854</v>
      </c>
      <c r="J152" s="9" t="str" cm="1">
        <f t="array" ref="J152">IFERROR(INDEX(Table3[[#All],[Campaign_Name]],MATCH(1,(Table2[[#This Row],[Week_Start_Date]]&gt;=Table3[[#All],[Start_Date]])*(Table2[[#This Row],[Week_Start_Date]]&lt;=Table3[[#All],[End_Date]]),0)),"No Campign")</f>
        <v>No Campign</v>
      </c>
      <c r="K152" s="109">
        <f>Table2[[#This Row],[Engagement_Rate]]/Table2[[#This Row],[Ad_Spend]]</f>
        <v>5.6579602875240196E-4</v>
      </c>
    </row>
    <row r="153" spans="1:11">
      <c r="A153" s="10">
        <v>45796</v>
      </c>
      <c r="B153" s="1" t="s">
        <v>22</v>
      </c>
      <c r="C153" s="9">
        <v>1430</v>
      </c>
      <c r="D153" s="9">
        <v>74</v>
      </c>
      <c r="E153" s="9">
        <f>Table2[[#This Row],[New_Followers]]-Table2[[#This Row],[Unfollows]]</f>
        <v>1356</v>
      </c>
      <c r="F153" s="9">
        <v>327012</v>
      </c>
      <c r="G153" s="9">
        <v>6.66</v>
      </c>
      <c r="H153" s="73">
        <v>27782</v>
      </c>
      <c r="I153" s="81">
        <f>(Table2[[#This Row],[Total_Followers]]-F150)/F150</f>
        <v>0.94216481069042313</v>
      </c>
      <c r="J153" s="9" t="str" cm="1">
        <f t="array" ref="J153">IFERROR(INDEX(Table3[[#All],[Campaign_Name]],MATCH(1,(Table2[[#This Row],[Week_Start_Date]]&gt;=Table3[[#All],[Start_Date]])*(Table2[[#This Row],[Week_Start_Date]]&lt;=Table3[[#All],[End_Date]]),0)),"No Campign")</f>
        <v>No Campign</v>
      </c>
      <c r="K153" s="109">
        <f>Table2[[#This Row],[Engagement_Rate]]/Table2[[#This Row],[Ad_Spend]]</f>
        <v>2.3972356201857318E-4</v>
      </c>
    </row>
    <row r="154" spans="1:11">
      <c r="A154" s="10">
        <v>45796</v>
      </c>
      <c r="B154" s="1" t="s">
        <v>28</v>
      </c>
      <c r="C154" s="9">
        <v>1358</v>
      </c>
      <c r="D154" s="9">
        <v>77</v>
      </c>
      <c r="E154" s="9">
        <f>Table2[[#This Row],[New_Followers]]-Table2[[#This Row],[Unfollows]]</f>
        <v>1281</v>
      </c>
      <c r="F154" s="9">
        <v>169688</v>
      </c>
      <c r="G154" s="9">
        <v>5.25</v>
      </c>
      <c r="H154" s="73">
        <v>7859</v>
      </c>
      <c r="I154" s="81">
        <f>(Table2[[#This Row],[Total_Followers]]-F151)/F151</f>
        <v>-0.32866756605990594</v>
      </c>
      <c r="J154" s="9" t="str" cm="1">
        <f t="array" ref="J154">IFERROR(INDEX(Table3[[#All],[Campaign_Name]],MATCH(1,(Table2[[#This Row],[Week_Start_Date]]&gt;=Table3[[#All],[Start_Date]])*(Table2[[#This Row],[Week_Start_Date]]&lt;=Table3[[#All],[End_Date]]),0)),"No Campign")</f>
        <v>No Campign</v>
      </c>
      <c r="K154" s="109">
        <f>Table2[[#This Row],[Engagement_Rate]]/Table2[[#This Row],[Ad_Spend]]</f>
        <v>6.6802392161852651E-4</v>
      </c>
    </row>
    <row r="155" spans="1:11">
      <c r="A155" s="10">
        <v>45803</v>
      </c>
      <c r="B155" s="1" t="s">
        <v>13</v>
      </c>
      <c r="C155" s="9">
        <v>1242</v>
      </c>
      <c r="D155" s="9">
        <v>201</v>
      </c>
      <c r="E155" s="9">
        <f>Table2[[#This Row],[New_Followers]]-Table2[[#This Row],[Unfollows]]</f>
        <v>1041</v>
      </c>
      <c r="F155" s="9">
        <v>271935</v>
      </c>
      <c r="G155" s="9">
        <v>5.07</v>
      </c>
      <c r="H155" s="73">
        <v>15773</v>
      </c>
      <c r="I155" s="81">
        <f>(Table2[[#This Row],[Total_Followers]]-F152)/F152</f>
        <v>1.2968841063238536</v>
      </c>
      <c r="J155" s="9" t="str" cm="1">
        <f t="array" ref="J155">IFERROR(INDEX(Table3[[#All],[Campaign_Name]],MATCH(1,(Table2[[#This Row],[Week_Start_Date]]&gt;=Table3[[#All],[Start_Date]])*(Table2[[#This Row],[Week_Start_Date]]&lt;=Table3[[#All],[End_Date]]),0)),"No Campign")</f>
        <v>No Campign</v>
      </c>
      <c r="K155" s="109">
        <f>Table2[[#This Row],[Engagement_Rate]]/Table2[[#This Row],[Ad_Spend]]</f>
        <v>3.2143536423001335E-4</v>
      </c>
    </row>
    <row r="156" spans="1:11">
      <c r="A156" s="10">
        <v>45803</v>
      </c>
      <c r="B156" s="1" t="s">
        <v>22</v>
      </c>
      <c r="C156" s="9">
        <v>1389</v>
      </c>
      <c r="D156" s="9">
        <v>205</v>
      </c>
      <c r="E156" s="9">
        <f>Table2[[#This Row],[New_Followers]]-Table2[[#This Row],[Unfollows]]</f>
        <v>1184</v>
      </c>
      <c r="F156" s="9">
        <v>315981</v>
      </c>
      <c r="G156" s="9">
        <v>7.62</v>
      </c>
      <c r="H156" s="73">
        <v>20595</v>
      </c>
      <c r="I156" s="81">
        <f>(Table2[[#This Row],[Total_Followers]]-F153)/F153</f>
        <v>-3.3732707056621777E-2</v>
      </c>
      <c r="J156" s="9" t="str" cm="1">
        <f t="array" ref="J156">IFERROR(INDEX(Table3[[#All],[Campaign_Name]],MATCH(1,(Table2[[#This Row],[Week_Start_Date]]&gt;=Table3[[#All],[Start_Date]])*(Table2[[#This Row],[Week_Start_Date]]&lt;=Table3[[#All],[End_Date]]),0)),"No Campign")</f>
        <v>No Campign</v>
      </c>
      <c r="K156" s="109">
        <f>Table2[[#This Row],[Engagement_Rate]]/Table2[[#This Row],[Ad_Spend]]</f>
        <v>3.6999271667880553E-4</v>
      </c>
    </row>
    <row r="157" spans="1:11">
      <c r="A157" s="10">
        <v>45803</v>
      </c>
      <c r="B157" s="1" t="s">
        <v>28</v>
      </c>
      <c r="C157" s="9">
        <v>826</v>
      </c>
      <c r="D157" s="9">
        <v>142</v>
      </c>
      <c r="E157" s="9">
        <f>Table2[[#This Row],[New_Followers]]-Table2[[#This Row],[Unfollows]]</f>
        <v>684</v>
      </c>
      <c r="F157" s="9">
        <v>341016</v>
      </c>
      <c r="G157" s="9">
        <v>7.44</v>
      </c>
      <c r="H157" s="73">
        <v>12031</v>
      </c>
      <c r="I157" s="81">
        <f>(Table2[[#This Row],[Total_Followers]]-F154)/F154</f>
        <v>1.0096647965678185</v>
      </c>
      <c r="J157" s="9" t="str" cm="1">
        <f t="array" ref="J157">IFERROR(INDEX(Table3[[#All],[Campaign_Name]],MATCH(1,(Table2[[#This Row],[Week_Start_Date]]&gt;=Table3[[#All],[Start_Date]])*(Table2[[#This Row],[Week_Start_Date]]&lt;=Table3[[#All],[End_Date]]),0)),"No Campign")</f>
        <v>No Campign</v>
      </c>
      <c r="K157" s="109">
        <f>Table2[[#This Row],[Engagement_Rate]]/Table2[[#This Row],[Ad_Spend]]</f>
        <v>6.1840246031086364E-4</v>
      </c>
    </row>
    <row r="158" spans="1:11">
      <c r="A158" s="10">
        <v>45810</v>
      </c>
      <c r="B158" s="1" t="s">
        <v>13</v>
      </c>
      <c r="C158" s="9">
        <v>618</v>
      </c>
      <c r="D158" s="9">
        <v>264</v>
      </c>
      <c r="E158" s="9">
        <f>Table2[[#This Row],[New_Followers]]-Table2[[#This Row],[Unfollows]]</f>
        <v>354</v>
      </c>
      <c r="F158" s="9">
        <v>285164</v>
      </c>
      <c r="G158" s="9">
        <v>4.8600000000000003</v>
      </c>
      <c r="H158" s="73">
        <v>15128</v>
      </c>
      <c r="I158" s="81">
        <f>(Table2[[#This Row],[Total_Followers]]-F155)/F155</f>
        <v>4.8647654770441466E-2</v>
      </c>
      <c r="J158" s="9" t="str" cm="1">
        <f t="array" ref="J158">IFERROR(INDEX(Table3[[#All],[Campaign_Name]],MATCH(1,(Table2[[#This Row],[Week_Start_Date]]&gt;=Table3[[#All],[Start_Date]])*(Table2[[#This Row],[Week_Start_Date]]&lt;=Table3[[#All],[End_Date]]),0)),"No Campign")</f>
        <v>No Campign</v>
      </c>
      <c r="K158" s="109">
        <f>Table2[[#This Row],[Engagement_Rate]]/Table2[[#This Row],[Ad_Spend]]</f>
        <v>3.212585933368588E-4</v>
      </c>
    </row>
    <row r="159" spans="1:11">
      <c r="A159" s="10">
        <v>45810</v>
      </c>
      <c r="B159" s="1" t="s">
        <v>22</v>
      </c>
      <c r="C159" s="9">
        <v>1419</v>
      </c>
      <c r="D159" s="9">
        <v>293</v>
      </c>
      <c r="E159" s="9">
        <f>Table2[[#This Row],[New_Followers]]-Table2[[#This Row],[Unfollows]]</f>
        <v>1126</v>
      </c>
      <c r="F159" s="9">
        <v>116632</v>
      </c>
      <c r="G159" s="9">
        <v>6.93</v>
      </c>
      <c r="H159" s="73">
        <v>11826</v>
      </c>
      <c r="I159" s="81">
        <f>(Table2[[#This Row],[Total_Followers]]-F156)/F156</f>
        <v>-0.63088919903411911</v>
      </c>
      <c r="J159" s="9" t="str" cm="1">
        <f t="array" ref="J159">IFERROR(INDEX(Table3[[#All],[Campaign_Name]],MATCH(1,(Table2[[#This Row],[Week_Start_Date]]&gt;=Table3[[#All],[Start_Date]])*(Table2[[#This Row],[Week_Start_Date]]&lt;=Table3[[#All],[End_Date]]),0)),"No Campign")</f>
        <v>No Campign</v>
      </c>
      <c r="K159" s="109">
        <f>Table2[[#This Row],[Engagement_Rate]]/Table2[[#This Row],[Ad_Spend]]</f>
        <v>5.859969558599695E-4</v>
      </c>
    </row>
    <row r="160" spans="1:11">
      <c r="A160" s="10">
        <v>45810</v>
      </c>
      <c r="B160" s="1" t="s">
        <v>28</v>
      </c>
      <c r="C160" s="9">
        <v>637</v>
      </c>
      <c r="D160" s="9">
        <v>68</v>
      </c>
      <c r="E160" s="9">
        <f>Table2[[#This Row],[New_Followers]]-Table2[[#This Row],[Unfollows]]</f>
        <v>569</v>
      </c>
      <c r="F160" s="9">
        <v>115694</v>
      </c>
      <c r="G160" s="9">
        <v>9.99</v>
      </c>
      <c r="H160" s="73">
        <v>12562</v>
      </c>
      <c r="I160" s="81">
        <f>(Table2[[#This Row],[Total_Followers]]-F157)/F157</f>
        <v>-0.66073732610786595</v>
      </c>
      <c r="J160" s="9" t="str" cm="1">
        <f t="array" ref="J160">IFERROR(INDEX(Table3[[#All],[Campaign_Name]],MATCH(1,(Table2[[#This Row],[Week_Start_Date]]&gt;=Table3[[#All],[Start_Date]])*(Table2[[#This Row],[Week_Start_Date]]&lt;=Table3[[#All],[End_Date]]),0)),"No Campign")</f>
        <v>No Campign</v>
      </c>
      <c r="K160" s="109">
        <f>Table2[[#This Row],[Engagement_Rate]]/Table2[[#This Row],[Ad_Spend]]</f>
        <v>7.952555325585098E-4</v>
      </c>
    </row>
    <row r="161" spans="1:11">
      <c r="A161" s="10">
        <v>45817</v>
      </c>
      <c r="B161" s="1" t="s">
        <v>13</v>
      </c>
      <c r="C161" s="9">
        <v>917</v>
      </c>
      <c r="D161" s="9">
        <v>187</v>
      </c>
      <c r="E161" s="9">
        <f>Table2[[#This Row],[New_Followers]]-Table2[[#This Row],[Unfollows]]</f>
        <v>730</v>
      </c>
      <c r="F161" s="9">
        <v>64444</v>
      </c>
      <c r="G161" s="9">
        <v>5.22</v>
      </c>
      <c r="H161" s="73">
        <v>13013</v>
      </c>
      <c r="I161" s="81">
        <f>(Table2[[#This Row],[Total_Followers]]-F158)/F158</f>
        <v>-0.77401074469428122</v>
      </c>
      <c r="J161" s="9" t="str" cm="1">
        <f t="array" ref="J161">IFERROR(INDEX(Table3[[#All],[Campaign_Name]],MATCH(1,(Table2[[#This Row],[Week_Start_Date]]&gt;=Table3[[#All],[Start_Date]])*(Table2[[#This Row],[Week_Start_Date]]&lt;=Table3[[#All],[End_Date]]),0)),"No Campign")</f>
        <v>No Campign</v>
      </c>
      <c r="K161" s="109">
        <f>Table2[[#This Row],[Engagement_Rate]]/Table2[[#This Row],[Ad_Spend]]</f>
        <v>4.0113732421424728E-4</v>
      </c>
    </row>
    <row r="162" spans="1:11">
      <c r="A162" s="10">
        <v>45817</v>
      </c>
      <c r="B162" s="1" t="s">
        <v>22</v>
      </c>
      <c r="C162" s="9">
        <v>810</v>
      </c>
      <c r="D162" s="9">
        <v>232</v>
      </c>
      <c r="E162" s="9">
        <f>Table2[[#This Row],[New_Followers]]-Table2[[#This Row],[Unfollows]]</f>
        <v>578</v>
      </c>
      <c r="F162" s="9">
        <v>362559</v>
      </c>
      <c r="G162" s="9">
        <v>5.17</v>
      </c>
      <c r="H162" s="73">
        <v>12937</v>
      </c>
      <c r="I162" s="81">
        <f>(Table2[[#This Row],[Total_Followers]]-F159)/F159</f>
        <v>2.1085722614719802</v>
      </c>
      <c r="J162" s="9" t="str" cm="1">
        <f t="array" ref="J162">IFERROR(INDEX(Table3[[#All],[Campaign_Name]],MATCH(1,(Table2[[#This Row],[Week_Start_Date]]&gt;=Table3[[#All],[Start_Date]])*(Table2[[#This Row],[Week_Start_Date]]&lt;=Table3[[#All],[End_Date]]),0)),"No Campign")</f>
        <v>No Campign</v>
      </c>
      <c r="K162" s="109">
        <f>Table2[[#This Row],[Engagement_Rate]]/Table2[[#This Row],[Ad_Spend]]</f>
        <v>3.9962897116796784E-4</v>
      </c>
    </row>
    <row r="163" spans="1:11">
      <c r="A163" s="10">
        <v>45817</v>
      </c>
      <c r="B163" s="1" t="s">
        <v>28</v>
      </c>
      <c r="C163" s="9">
        <v>1183</v>
      </c>
      <c r="D163" s="9">
        <v>248</v>
      </c>
      <c r="E163" s="9">
        <f>Table2[[#This Row],[New_Followers]]-Table2[[#This Row],[Unfollows]]</f>
        <v>935</v>
      </c>
      <c r="F163" s="9">
        <v>226881</v>
      </c>
      <c r="G163" s="9">
        <v>5.17</v>
      </c>
      <c r="H163" s="73">
        <v>14534</v>
      </c>
      <c r="I163" s="81">
        <f>(Table2[[#This Row],[Total_Followers]]-F160)/F160</f>
        <v>0.96104378792331491</v>
      </c>
      <c r="J163" s="9" t="str" cm="1">
        <f t="array" ref="J163">IFERROR(INDEX(Table3[[#All],[Campaign_Name]],MATCH(1,(Table2[[#This Row],[Week_Start_Date]]&gt;=Table3[[#All],[Start_Date]])*(Table2[[#This Row],[Week_Start_Date]]&lt;=Table3[[#All],[End_Date]]),0)),"No Campign")</f>
        <v>No Campign</v>
      </c>
      <c r="K163" s="109">
        <f>Table2[[#This Row],[Engagement_Rate]]/Table2[[#This Row],[Ad_Spend]]</f>
        <v>3.5571762763176001E-4</v>
      </c>
    </row>
    <row r="164" spans="1:11">
      <c r="A164" s="10">
        <v>45824</v>
      </c>
      <c r="B164" s="1" t="s">
        <v>13</v>
      </c>
      <c r="C164" s="9">
        <v>765</v>
      </c>
      <c r="D164" s="9">
        <v>67</v>
      </c>
      <c r="E164" s="9">
        <f>Table2[[#This Row],[New_Followers]]-Table2[[#This Row],[Unfollows]]</f>
        <v>698</v>
      </c>
      <c r="F164" s="9">
        <v>283537</v>
      </c>
      <c r="G164" s="9">
        <v>6.18</v>
      </c>
      <c r="H164" s="73">
        <v>8182</v>
      </c>
      <c r="I164" s="81">
        <f>(Table2[[#This Row],[Total_Followers]]-F161)/F161</f>
        <v>3.3997424120166344</v>
      </c>
      <c r="J164" s="9" t="str" cm="1">
        <f t="array" ref="J164">IFERROR(INDEX(Table3[[#All],[Campaign_Name]],MATCH(1,(Table2[[#This Row],[Week_Start_Date]]&gt;=Table3[[#All],[Start_Date]])*(Table2[[#This Row],[Week_Start_Date]]&lt;=Table3[[#All],[End_Date]]),0)),"No Campign")</f>
        <v>No Campign</v>
      </c>
      <c r="K164" s="109">
        <f>Table2[[#This Row],[Engagement_Rate]]/Table2[[#This Row],[Ad_Spend]]</f>
        <v>7.5531654852114389E-4</v>
      </c>
    </row>
    <row r="165" spans="1:11">
      <c r="A165" s="10">
        <v>45824</v>
      </c>
      <c r="B165" s="1" t="s">
        <v>22</v>
      </c>
      <c r="C165" s="9">
        <v>540</v>
      </c>
      <c r="D165" s="9">
        <v>215</v>
      </c>
      <c r="E165" s="9">
        <f>Table2[[#This Row],[New_Followers]]-Table2[[#This Row],[Unfollows]]</f>
        <v>325</v>
      </c>
      <c r="F165" s="9">
        <v>62837</v>
      </c>
      <c r="G165" s="9">
        <v>5.3</v>
      </c>
      <c r="H165" s="73">
        <v>10615</v>
      </c>
      <c r="I165" s="81">
        <f>(Table2[[#This Row],[Total_Followers]]-F162)/F162</f>
        <v>-0.82668476027350035</v>
      </c>
      <c r="J165" s="9" t="str" cm="1">
        <f t="array" ref="J165">IFERROR(INDEX(Table3[[#All],[Campaign_Name]],MATCH(1,(Table2[[#This Row],[Week_Start_Date]]&gt;=Table3[[#All],[Start_Date]])*(Table2[[#This Row],[Week_Start_Date]]&lt;=Table3[[#All],[End_Date]]),0)),"No Campign")</f>
        <v>No Campign</v>
      </c>
      <c r="K165" s="109">
        <f>Table2[[#This Row],[Engagement_Rate]]/Table2[[#This Row],[Ad_Spend]]</f>
        <v>4.9929345266132828E-4</v>
      </c>
    </row>
    <row r="166" spans="1:11">
      <c r="A166" s="10">
        <v>45824</v>
      </c>
      <c r="B166" s="1" t="s">
        <v>28</v>
      </c>
      <c r="C166" s="9">
        <v>1145</v>
      </c>
      <c r="D166" s="9">
        <v>151</v>
      </c>
      <c r="E166" s="9">
        <f>Table2[[#This Row],[New_Followers]]-Table2[[#This Row],[Unfollows]]</f>
        <v>994</v>
      </c>
      <c r="F166" s="9">
        <v>182759</v>
      </c>
      <c r="G166" s="9">
        <v>5.99</v>
      </c>
      <c r="H166" s="73">
        <v>20109</v>
      </c>
      <c r="I166" s="81">
        <f>(Table2[[#This Row],[Total_Followers]]-F163)/F163</f>
        <v>-0.19447199192528242</v>
      </c>
      <c r="J166" s="9" t="str" cm="1">
        <f t="array" ref="J166">IFERROR(INDEX(Table3[[#All],[Campaign_Name]],MATCH(1,(Table2[[#This Row],[Week_Start_Date]]&gt;=Table3[[#All],[Start_Date]])*(Table2[[#This Row],[Week_Start_Date]]&lt;=Table3[[#All],[End_Date]]),0)),"No Campign")</f>
        <v>No Campign</v>
      </c>
      <c r="K166" s="109">
        <f>Table2[[#This Row],[Engagement_Rate]]/Table2[[#This Row],[Ad_Spend]]</f>
        <v>2.9787657267889999E-4</v>
      </c>
    </row>
    <row r="167" spans="1:11">
      <c r="A167" s="10">
        <v>45831</v>
      </c>
      <c r="B167" s="1" t="s">
        <v>13</v>
      </c>
      <c r="C167" s="9">
        <v>564</v>
      </c>
      <c r="D167" s="9">
        <v>244</v>
      </c>
      <c r="E167" s="9">
        <f>Table2[[#This Row],[New_Followers]]-Table2[[#This Row],[Unfollows]]</f>
        <v>320</v>
      </c>
      <c r="F167" s="9">
        <v>279405</v>
      </c>
      <c r="G167" s="9">
        <v>8.43</v>
      </c>
      <c r="H167" s="73">
        <v>26024</v>
      </c>
      <c r="I167" s="81">
        <f>(Table2[[#This Row],[Total_Followers]]-F164)/F164</f>
        <v>-1.4573053957684535E-2</v>
      </c>
      <c r="J167" s="9" t="str" cm="1">
        <f t="array" ref="J167">IFERROR(INDEX(Table3[[#All],[Campaign_Name]],MATCH(1,(Table2[[#This Row],[Week_Start_Date]]&gt;=Table3[[#All],[Start_Date]])*(Table2[[#This Row],[Week_Start_Date]]&lt;=Table3[[#All],[End_Date]]),0)),"No Campign")</f>
        <v>No Campign</v>
      </c>
      <c r="K167" s="109">
        <f>Table2[[#This Row],[Engagement_Rate]]/Table2[[#This Row],[Ad_Spend]]</f>
        <v>3.2393175530279742E-4</v>
      </c>
    </row>
    <row r="168" spans="1:11">
      <c r="A168" s="10">
        <v>45831</v>
      </c>
      <c r="B168" s="1" t="s">
        <v>22</v>
      </c>
      <c r="C168" s="9">
        <v>668</v>
      </c>
      <c r="D168" s="9">
        <v>124</v>
      </c>
      <c r="E168" s="9">
        <f>Table2[[#This Row],[New_Followers]]-Table2[[#This Row],[Unfollows]]</f>
        <v>544</v>
      </c>
      <c r="F168" s="9">
        <v>257485</v>
      </c>
      <c r="G168" s="9">
        <v>7.55</v>
      </c>
      <c r="H168" s="73">
        <v>26730</v>
      </c>
      <c r="I168" s="81">
        <f>(Table2[[#This Row],[Total_Followers]]-F165)/F165</f>
        <v>3.0976653882266816</v>
      </c>
      <c r="J168" s="9" t="str" cm="1">
        <f t="array" ref="J168">IFERROR(INDEX(Table3[[#All],[Campaign_Name]],MATCH(1,(Table2[[#This Row],[Week_Start_Date]]&gt;=Table3[[#All],[Start_Date]])*(Table2[[#This Row],[Week_Start_Date]]&lt;=Table3[[#All],[End_Date]]),0)),"No Campign")</f>
        <v>No Campign</v>
      </c>
      <c r="K168" s="109">
        <f>Table2[[#This Row],[Engagement_Rate]]/Table2[[#This Row],[Ad_Spend]]</f>
        <v>2.824541713430602E-4</v>
      </c>
    </row>
    <row r="169" spans="1:11">
      <c r="A169" s="10">
        <v>45831</v>
      </c>
      <c r="B169" s="1" t="s">
        <v>28</v>
      </c>
      <c r="C169" s="9">
        <v>761</v>
      </c>
      <c r="D169" s="9">
        <v>241</v>
      </c>
      <c r="E169" s="9">
        <f>Table2[[#This Row],[New_Followers]]-Table2[[#This Row],[Unfollows]]</f>
        <v>520</v>
      </c>
      <c r="F169" s="9">
        <v>154977</v>
      </c>
      <c r="G169" s="9">
        <v>5.63</v>
      </c>
      <c r="H169" s="73">
        <v>10563</v>
      </c>
      <c r="I169" s="81">
        <f>(Table2[[#This Row],[Total_Followers]]-F166)/F166</f>
        <v>-0.15201440147954409</v>
      </c>
      <c r="J169" s="9" t="str" cm="1">
        <f t="array" ref="J169">IFERROR(INDEX(Table3[[#All],[Campaign_Name]],MATCH(1,(Table2[[#This Row],[Week_Start_Date]]&gt;=Table3[[#All],[Start_Date]])*(Table2[[#This Row],[Week_Start_Date]]&lt;=Table3[[#All],[End_Date]]),0)),"No Campign")</f>
        <v>No Campign</v>
      </c>
      <c r="K169" s="109">
        <f>Table2[[#This Row],[Engagement_Rate]]/Table2[[#This Row],[Ad_Spend]]</f>
        <v>5.3299252106409165E-4</v>
      </c>
    </row>
    <row r="170" spans="1:11">
      <c r="A170" s="10">
        <v>45838</v>
      </c>
      <c r="B170" s="1" t="s">
        <v>13</v>
      </c>
      <c r="C170" s="9">
        <v>593</v>
      </c>
      <c r="D170" s="9">
        <v>108</v>
      </c>
      <c r="E170" s="9">
        <f>Table2[[#This Row],[New_Followers]]-Table2[[#This Row],[Unfollows]]</f>
        <v>485</v>
      </c>
      <c r="F170" s="9">
        <v>216500</v>
      </c>
      <c r="G170" s="9">
        <v>4.71</v>
      </c>
      <c r="H170" s="73">
        <v>27575</v>
      </c>
      <c r="I170" s="81">
        <f>(Table2[[#This Row],[Total_Followers]]-F167)/F167</f>
        <v>-0.22513913494747767</v>
      </c>
      <c r="J170" s="9" t="str" cm="1">
        <f t="array" ref="J170">IFERROR(INDEX(Table3[[#All],[Campaign_Name]],MATCH(1,(Table2[[#This Row],[Week_Start_Date]]&gt;=Table3[[#All],[Start_Date]])*(Table2[[#This Row],[Week_Start_Date]]&lt;=Table3[[#All],[End_Date]]),0)),"No Campign")</f>
        <v>No Campign</v>
      </c>
      <c r="K170" s="109">
        <f>Table2[[#This Row],[Engagement_Rate]]/Table2[[#This Row],[Ad_Spend]]</f>
        <v>1.7080689029918403E-4</v>
      </c>
    </row>
    <row r="171" spans="1:11">
      <c r="A171" s="10">
        <v>45838</v>
      </c>
      <c r="B171" s="1" t="s">
        <v>22</v>
      </c>
      <c r="C171" s="9">
        <v>1349</v>
      </c>
      <c r="D171" s="9">
        <v>115</v>
      </c>
      <c r="E171" s="9">
        <f>Table2[[#This Row],[New_Followers]]-Table2[[#This Row],[Unfollows]]</f>
        <v>1234</v>
      </c>
      <c r="F171" s="9">
        <v>102102</v>
      </c>
      <c r="G171" s="9">
        <v>5.28</v>
      </c>
      <c r="H171" s="73">
        <v>14479</v>
      </c>
      <c r="I171" s="81">
        <f>(Table2[[#This Row],[Total_Followers]]-F168)/F168</f>
        <v>-0.60346427947259063</v>
      </c>
      <c r="J171" s="9" t="str" cm="1">
        <f t="array" ref="J171">IFERROR(INDEX(Table3[[#All],[Campaign_Name]],MATCH(1,(Table2[[#This Row],[Week_Start_Date]]&gt;=Table3[[#All],[Start_Date]])*(Table2[[#This Row],[Week_Start_Date]]&lt;=Table3[[#All],[End_Date]]),0)),"No Campign")</f>
        <v>No Campign</v>
      </c>
      <c r="K171" s="109">
        <f>Table2[[#This Row],[Engagement_Rate]]/Table2[[#This Row],[Ad_Spend]]</f>
        <v>3.6466606809862562E-4</v>
      </c>
    </row>
    <row r="172" spans="1:11">
      <c r="A172" s="10">
        <v>45838</v>
      </c>
      <c r="B172" s="1" t="s">
        <v>28</v>
      </c>
      <c r="C172" s="9">
        <v>693</v>
      </c>
      <c r="D172" s="9">
        <v>97</v>
      </c>
      <c r="E172" s="9">
        <f>Table2[[#This Row],[New_Followers]]-Table2[[#This Row],[Unfollows]]</f>
        <v>596</v>
      </c>
      <c r="F172" s="9">
        <v>92025</v>
      </c>
      <c r="G172" s="9">
        <v>5.95</v>
      </c>
      <c r="H172" s="73">
        <v>15915</v>
      </c>
      <c r="I172" s="81">
        <f>(Table2[[#This Row],[Total_Followers]]-F169)/F169</f>
        <v>-0.40620221065061268</v>
      </c>
      <c r="J172" s="9" t="str" cm="1">
        <f t="array" ref="J172">IFERROR(INDEX(Table3[[#All],[Campaign_Name]],MATCH(1,(Table2[[#This Row],[Week_Start_Date]]&gt;=Table3[[#All],[Start_Date]])*(Table2[[#This Row],[Week_Start_Date]]&lt;=Table3[[#All],[End_Date]]),0)),"No Campign")</f>
        <v>No Campign</v>
      </c>
      <c r="K172" s="109">
        <f>Table2[[#This Row],[Engagement_Rate]]/Table2[[#This Row],[Ad_Spend]]</f>
        <v>3.7386113729186301E-4</v>
      </c>
    </row>
    <row r="173" spans="1:11">
      <c r="A173" s="10">
        <v>45845</v>
      </c>
      <c r="B173" s="1" t="s">
        <v>13</v>
      </c>
      <c r="C173" s="9">
        <v>974</v>
      </c>
      <c r="D173" s="9">
        <v>143</v>
      </c>
      <c r="E173" s="9">
        <f>Table2[[#This Row],[New_Followers]]-Table2[[#This Row],[Unfollows]]</f>
        <v>831</v>
      </c>
      <c r="F173" s="9">
        <v>247965</v>
      </c>
      <c r="G173" s="9">
        <v>9.98</v>
      </c>
      <c r="H173" s="73">
        <v>12767</v>
      </c>
      <c r="I173" s="81">
        <f>(Table2[[#This Row],[Total_Followers]]-F170)/F170</f>
        <v>0.14533487297921477</v>
      </c>
      <c r="J173" s="9" t="str" cm="1">
        <f t="array" ref="J173">IFERROR(INDEX(Table3[[#All],[Campaign_Name]],MATCH(1,(Table2[[#This Row],[Week_Start_Date]]&gt;=Table3[[#All],[Start_Date]])*(Table2[[#This Row],[Week_Start_Date]]&lt;=Table3[[#All],[End_Date]]),0)),"No Campign")</f>
        <v>No Campign</v>
      </c>
      <c r="K173" s="109">
        <f>Table2[[#This Row],[Engagement_Rate]]/Table2[[#This Row],[Ad_Spend]]</f>
        <v>7.817028276024125E-4</v>
      </c>
    </row>
    <row r="174" spans="1:11">
      <c r="A174" s="10">
        <v>45845</v>
      </c>
      <c r="B174" s="1" t="s">
        <v>22</v>
      </c>
      <c r="C174" s="9">
        <v>1155</v>
      </c>
      <c r="D174" s="9">
        <v>122</v>
      </c>
      <c r="E174" s="9">
        <f>Table2[[#This Row],[New_Followers]]-Table2[[#This Row],[Unfollows]]</f>
        <v>1033</v>
      </c>
      <c r="F174" s="9">
        <v>387352</v>
      </c>
      <c r="G174" s="9">
        <v>9.93</v>
      </c>
      <c r="H174" s="73">
        <v>12170</v>
      </c>
      <c r="I174" s="81">
        <f>(Table2[[#This Row],[Total_Followers]]-F171)/F171</f>
        <v>2.7937748525983821</v>
      </c>
      <c r="J174" s="9" t="str" cm="1">
        <f t="array" ref="J174">IFERROR(INDEX(Table3[[#All],[Campaign_Name]],MATCH(1,(Table2[[#This Row],[Week_Start_Date]]&gt;=Table3[[#All],[Start_Date]])*(Table2[[#This Row],[Week_Start_Date]]&lt;=Table3[[#All],[End_Date]]),0)),"No Campign")</f>
        <v>No Campign</v>
      </c>
      <c r="K174" s="109">
        <f>Table2[[#This Row],[Engagement_Rate]]/Table2[[#This Row],[Ad_Spend]]</f>
        <v>8.1594083812654063E-4</v>
      </c>
    </row>
    <row r="175" spans="1:11">
      <c r="A175" s="10">
        <v>45845</v>
      </c>
      <c r="B175" s="1" t="s">
        <v>28</v>
      </c>
      <c r="C175" s="9">
        <v>1051</v>
      </c>
      <c r="D175" s="9">
        <v>246</v>
      </c>
      <c r="E175" s="9">
        <f>Table2[[#This Row],[New_Followers]]-Table2[[#This Row],[Unfollows]]</f>
        <v>805</v>
      </c>
      <c r="F175" s="9">
        <v>253985</v>
      </c>
      <c r="G175" s="9">
        <v>9.08</v>
      </c>
      <c r="H175" s="73">
        <v>7245</v>
      </c>
      <c r="I175" s="81">
        <f>(Table2[[#This Row],[Total_Followers]]-F172)/F172</f>
        <v>1.7599565335506655</v>
      </c>
      <c r="J175" s="9" t="str" cm="1">
        <f t="array" ref="J175">IFERROR(INDEX(Table3[[#All],[Campaign_Name]],MATCH(1,(Table2[[#This Row],[Week_Start_Date]]&gt;=Table3[[#All],[Start_Date]])*(Table2[[#This Row],[Week_Start_Date]]&lt;=Table3[[#All],[End_Date]]),0)),"No Campign")</f>
        <v>No Campign</v>
      </c>
      <c r="K175" s="109">
        <f>Table2[[#This Row],[Engagement_Rate]]/Table2[[#This Row],[Ad_Spend]]</f>
        <v>1.2532781228433403E-3</v>
      </c>
    </row>
    <row r="176" spans="1:11">
      <c r="A176" s="10">
        <v>45852</v>
      </c>
      <c r="B176" s="1" t="s">
        <v>13</v>
      </c>
      <c r="C176" s="9">
        <v>1457</v>
      </c>
      <c r="D176" s="9">
        <v>183</v>
      </c>
      <c r="E176" s="9">
        <f>Table2[[#This Row],[New_Followers]]-Table2[[#This Row],[Unfollows]]</f>
        <v>1274</v>
      </c>
      <c r="F176" s="9">
        <v>129640</v>
      </c>
      <c r="G176" s="9">
        <v>7.98</v>
      </c>
      <c r="H176" s="73">
        <v>12985</v>
      </c>
      <c r="I176" s="81">
        <f>(Table2[[#This Row],[Total_Followers]]-F173)/F173</f>
        <v>-0.47718428003952168</v>
      </c>
      <c r="J176" s="9" t="str" cm="1">
        <f t="array" ref="J176">IFERROR(INDEX(Table3[[#All],[Campaign_Name]],MATCH(1,(Table2[[#This Row],[Week_Start_Date]]&gt;=Table3[[#All],[Start_Date]])*(Table2[[#This Row],[Week_Start_Date]]&lt;=Table3[[#All],[End_Date]]),0)),"No Campign")</f>
        <v>No Campign</v>
      </c>
      <c r="K176" s="109">
        <f>Table2[[#This Row],[Engagement_Rate]]/Table2[[#This Row],[Ad_Spend]]</f>
        <v>6.145552560646901E-4</v>
      </c>
    </row>
    <row r="177" spans="1:11">
      <c r="A177" s="10">
        <v>45852</v>
      </c>
      <c r="B177" s="1" t="s">
        <v>22</v>
      </c>
      <c r="C177" s="9">
        <v>670</v>
      </c>
      <c r="D177" s="9">
        <v>242</v>
      </c>
      <c r="E177" s="9">
        <f>Table2[[#This Row],[New_Followers]]-Table2[[#This Row],[Unfollows]]</f>
        <v>428</v>
      </c>
      <c r="F177" s="9">
        <v>281913</v>
      </c>
      <c r="G177" s="9">
        <v>9.6199999999999992</v>
      </c>
      <c r="H177" s="73">
        <v>16377</v>
      </c>
      <c r="I177" s="81">
        <f>(Table2[[#This Row],[Total_Followers]]-F174)/F174</f>
        <v>-0.27220460976063116</v>
      </c>
      <c r="J177" s="9" t="str" cm="1">
        <f t="array" ref="J177">IFERROR(INDEX(Table3[[#All],[Campaign_Name]],MATCH(1,(Table2[[#This Row],[Week_Start_Date]]&gt;=Table3[[#All],[Start_Date]])*(Table2[[#This Row],[Week_Start_Date]]&lt;=Table3[[#All],[End_Date]]),0)),"No Campign")</f>
        <v>No Campign</v>
      </c>
      <c r="K177" s="109">
        <f>Table2[[#This Row],[Engagement_Rate]]/Table2[[#This Row],[Ad_Spend]]</f>
        <v>5.8740917139891307E-4</v>
      </c>
    </row>
    <row r="178" spans="1:11">
      <c r="A178" s="10">
        <v>45852</v>
      </c>
      <c r="B178" s="1" t="s">
        <v>28</v>
      </c>
      <c r="C178" s="9">
        <v>1111</v>
      </c>
      <c r="D178" s="9">
        <v>159</v>
      </c>
      <c r="E178" s="9">
        <f>Table2[[#This Row],[New_Followers]]-Table2[[#This Row],[Unfollows]]</f>
        <v>952</v>
      </c>
      <c r="F178" s="9">
        <v>360770</v>
      </c>
      <c r="G178" s="9">
        <v>8.7100000000000009</v>
      </c>
      <c r="H178" s="73">
        <v>11453</v>
      </c>
      <c r="I178" s="81">
        <f>(Table2[[#This Row],[Total_Followers]]-F175)/F175</f>
        <v>0.42043821485520799</v>
      </c>
      <c r="J178" s="9" t="str" cm="1">
        <f t="array" ref="J178">IFERROR(INDEX(Table3[[#All],[Campaign_Name]],MATCH(1,(Table2[[#This Row],[Week_Start_Date]]&gt;=Table3[[#All],[Start_Date]])*(Table2[[#This Row],[Week_Start_Date]]&lt;=Table3[[#All],[End_Date]]),0)),"No Campign")</f>
        <v>No Campign</v>
      </c>
      <c r="K178" s="109">
        <f>Table2[[#This Row],[Engagement_Rate]]/Table2[[#This Row],[Ad_Spend]]</f>
        <v>7.6049943246311023E-4</v>
      </c>
    </row>
    <row r="179" spans="1:11">
      <c r="A179" s="10">
        <v>45859</v>
      </c>
      <c r="B179" s="1" t="s">
        <v>13</v>
      </c>
      <c r="C179" s="9">
        <v>1197</v>
      </c>
      <c r="D179" s="9">
        <v>246</v>
      </c>
      <c r="E179" s="9">
        <f>Table2[[#This Row],[New_Followers]]-Table2[[#This Row],[Unfollows]]</f>
        <v>951</v>
      </c>
      <c r="F179" s="9">
        <v>127273</v>
      </c>
      <c r="G179" s="9">
        <v>6.69</v>
      </c>
      <c r="H179" s="73">
        <v>12323</v>
      </c>
      <c r="I179" s="81">
        <f>(Table2[[#This Row],[Total_Followers]]-F176)/F176</f>
        <v>-1.8258253625424253E-2</v>
      </c>
      <c r="J179" s="9" t="str" cm="1">
        <f t="array" ref="J179">IFERROR(INDEX(Table3[[#All],[Campaign_Name]],MATCH(1,(Table2[[#This Row],[Week_Start_Date]]&gt;=Table3[[#All],[Start_Date]])*(Table2[[#This Row],[Week_Start_Date]]&lt;=Table3[[#All],[End_Date]]),0)),"No Campign")</f>
        <v>No Campign</v>
      </c>
      <c r="K179" s="109">
        <f>Table2[[#This Row],[Engagement_Rate]]/Table2[[#This Row],[Ad_Spend]]</f>
        <v>5.4288728394059893E-4</v>
      </c>
    </row>
    <row r="180" spans="1:11">
      <c r="A180" s="10">
        <v>45859</v>
      </c>
      <c r="B180" s="1" t="s">
        <v>22</v>
      </c>
      <c r="C180" s="9">
        <v>754</v>
      </c>
      <c r="D180" s="9">
        <v>150</v>
      </c>
      <c r="E180" s="9">
        <f>Table2[[#This Row],[New_Followers]]-Table2[[#This Row],[Unfollows]]</f>
        <v>604</v>
      </c>
      <c r="F180" s="9">
        <v>189622</v>
      </c>
      <c r="G180" s="9">
        <v>4.25</v>
      </c>
      <c r="H180" s="73">
        <v>11911</v>
      </c>
      <c r="I180" s="81">
        <f>(Table2[[#This Row],[Total_Followers]]-F177)/F177</f>
        <v>-0.32737404802190745</v>
      </c>
      <c r="J180" s="9" t="str" cm="1">
        <f t="array" ref="J180">IFERROR(INDEX(Table3[[#All],[Campaign_Name]],MATCH(1,(Table2[[#This Row],[Week_Start_Date]]&gt;=Table3[[#All],[Start_Date]])*(Table2[[#This Row],[Week_Start_Date]]&lt;=Table3[[#All],[End_Date]]),0)),"No Campign")</f>
        <v>No Campign</v>
      </c>
      <c r="K180" s="109">
        <f>Table2[[#This Row],[Engagement_Rate]]/Table2[[#This Row],[Ad_Spend]]</f>
        <v>3.5681302997229454E-4</v>
      </c>
    </row>
    <row r="181" spans="1:11">
      <c r="A181" s="10">
        <v>45859</v>
      </c>
      <c r="B181" s="1" t="s">
        <v>28</v>
      </c>
      <c r="C181" s="9">
        <v>1246</v>
      </c>
      <c r="D181" s="9">
        <v>107</v>
      </c>
      <c r="E181" s="9">
        <f>Table2[[#This Row],[New_Followers]]-Table2[[#This Row],[Unfollows]]</f>
        <v>1139</v>
      </c>
      <c r="F181" s="9">
        <v>350949</v>
      </c>
      <c r="G181" s="9">
        <v>4.9800000000000004</v>
      </c>
      <c r="H181" s="73">
        <v>27809</v>
      </c>
      <c r="I181" s="81">
        <f>(Table2[[#This Row],[Total_Followers]]-F178)/F178</f>
        <v>-2.7222330016353911E-2</v>
      </c>
      <c r="J181" s="9" t="str" cm="1">
        <f t="array" ref="J181">IFERROR(INDEX(Table3[[#All],[Campaign_Name]],MATCH(1,(Table2[[#This Row],[Week_Start_Date]]&gt;=Table3[[#All],[Start_Date]])*(Table2[[#This Row],[Week_Start_Date]]&lt;=Table3[[#All],[End_Date]]),0)),"No Campign")</f>
        <v>No Campign</v>
      </c>
      <c r="K181" s="109">
        <f>Table2[[#This Row],[Engagement_Rate]]/Table2[[#This Row],[Ad_Spend]]</f>
        <v>1.7907871552375133E-4</v>
      </c>
    </row>
    <row r="182" spans="1:11">
      <c r="A182" s="10">
        <v>45866</v>
      </c>
      <c r="B182" s="1" t="s">
        <v>13</v>
      </c>
      <c r="C182" s="9">
        <v>780</v>
      </c>
      <c r="D182" s="9">
        <v>213</v>
      </c>
      <c r="E182" s="9">
        <f>Table2[[#This Row],[New_Followers]]-Table2[[#This Row],[Unfollows]]</f>
        <v>567</v>
      </c>
      <c r="F182" s="9">
        <v>121431</v>
      </c>
      <c r="G182" s="9">
        <v>4.97</v>
      </c>
      <c r="H182" s="73">
        <v>21464</v>
      </c>
      <c r="I182" s="81">
        <f>(Table2[[#This Row],[Total_Followers]]-F179)/F179</f>
        <v>-4.5901330211435262E-2</v>
      </c>
      <c r="J182" s="9" t="str" cm="1">
        <f t="array" ref="J182">IFERROR(INDEX(Table3[[#All],[Campaign_Name]],MATCH(1,(Table2[[#This Row],[Week_Start_Date]]&gt;=Table3[[#All],[Start_Date]])*(Table2[[#This Row],[Week_Start_Date]]&lt;=Table3[[#All],[End_Date]]),0)),"No Campign")</f>
        <v>No Campign</v>
      </c>
      <c r="K182" s="109">
        <f>Table2[[#This Row],[Engagement_Rate]]/Table2[[#This Row],[Ad_Spend]]</f>
        <v>2.315505031680954E-4</v>
      </c>
    </row>
    <row r="183" spans="1:11">
      <c r="A183" s="10">
        <v>45866</v>
      </c>
      <c r="B183" s="1" t="s">
        <v>22</v>
      </c>
      <c r="C183" s="9">
        <v>1425</v>
      </c>
      <c r="D183" s="9">
        <v>143</v>
      </c>
      <c r="E183" s="9">
        <f>Table2[[#This Row],[New_Followers]]-Table2[[#This Row],[Unfollows]]</f>
        <v>1282</v>
      </c>
      <c r="F183" s="9">
        <v>116742</v>
      </c>
      <c r="G183" s="9">
        <v>3.71</v>
      </c>
      <c r="H183" s="73">
        <v>27126</v>
      </c>
      <c r="I183" s="81">
        <f>(Table2[[#This Row],[Total_Followers]]-F180)/F180</f>
        <v>-0.38434358882408159</v>
      </c>
      <c r="J183" s="9" t="str" cm="1">
        <f t="array" ref="J183">IFERROR(INDEX(Table3[[#All],[Campaign_Name]],MATCH(1,(Table2[[#This Row],[Week_Start_Date]]&gt;=Table3[[#All],[Start_Date]])*(Table2[[#This Row],[Week_Start_Date]]&lt;=Table3[[#All],[End_Date]]),0)),"No Campign")</f>
        <v>No Campign</v>
      </c>
      <c r="K183" s="109">
        <f>Table2[[#This Row],[Engagement_Rate]]/Table2[[#This Row],[Ad_Spend]]</f>
        <v>1.3676915136769151E-4</v>
      </c>
    </row>
    <row r="184" spans="1:11">
      <c r="A184" s="10">
        <v>45866</v>
      </c>
      <c r="B184" s="1" t="s">
        <v>28</v>
      </c>
      <c r="C184" s="9">
        <v>1490</v>
      </c>
      <c r="D184" s="9">
        <v>103</v>
      </c>
      <c r="E184" s="9">
        <f>Table2[[#This Row],[New_Followers]]-Table2[[#This Row],[Unfollows]]</f>
        <v>1387</v>
      </c>
      <c r="F184" s="9">
        <v>81184</v>
      </c>
      <c r="G184" s="9">
        <v>7.79</v>
      </c>
      <c r="H184" s="73">
        <v>10681</v>
      </c>
      <c r="I184" s="81">
        <f>(Table2[[#This Row],[Total_Followers]]-F181)/F181</f>
        <v>-0.76867294108260742</v>
      </c>
      <c r="J184" s="9" t="str" cm="1">
        <f t="array" ref="J184">IFERROR(INDEX(Table3[[#All],[Campaign_Name]],MATCH(1,(Table2[[#This Row],[Week_Start_Date]]&gt;=Table3[[#All],[Start_Date]])*(Table2[[#This Row],[Week_Start_Date]]&lt;=Table3[[#All],[End_Date]]),0)),"No Campign")</f>
        <v>No Campign</v>
      </c>
      <c r="K184" s="109">
        <f>Table2[[#This Row],[Engagement_Rate]]/Table2[[#This Row],[Ad_Spend]]</f>
        <v>7.293324595075368E-4</v>
      </c>
    </row>
    <row r="185" spans="1:11">
      <c r="A185" s="10">
        <v>45873</v>
      </c>
      <c r="B185" s="1" t="s">
        <v>13</v>
      </c>
      <c r="C185" s="9">
        <v>949</v>
      </c>
      <c r="D185" s="9">
        <v>282</v>
      </c>
      <c r="E185" s="9">
        <f>Table2[[#This Row],[New_Followers]]-Table2[[#This Row],[Unfollows]]</f>
        <v>667</v>
      </c>
      <c r="F185" s="9">
        <v>87126</v>
      </c>
      <c r="G185" s="9">
        <v>4.96</v>
      </c>
      <c r="H185" s="73">
        <v>5413</v>
      </c>
      <c r="I185" s="81">
        <f>(Table2[[#This Row],[Total_Followers]]-F182)/F182</f>
        <v>-0.28250611458359071</v>
      </c>
      <c r="J185" s="9" t="str" cm="1">
        <f t="array" ref="J185">IFERROR(INDEX(Table3[[#All],[Campaign_Name]],MATCH(1,(Table2[[#This Row],[Week_Start_Date]]&gt;=Table3[[#All],[Start_Date]])*(Table2[[#This Row],[Week_Start_Date]]&lt;=Table3[[#All],[End_Date]]),0)),"No Campign")</f>
        <v>No Campign</v>
      </c>
      <c r="K185" s="109">
        <f>Table2[[#This Row],[Engagement_Rate]]/Table2[[#This Row],[Ad_Spend]]</f>
        <v>9.163125808239424E-4</v>
      </c>
    </row>
    <row r="186" spans="1:11">
      <c r="A186" s="10">
        <v>45873</v>
      </c>
      <c r="B186" s="1" t="s">
        <v>22</v>
      </c>
      <c r="C186" s="9">
        <v>640</v>
      </c>
      <c r="D186" s="9">
        <v>141</v>
      </c>
      <c r="E186" s="9">
        <f>Table2[[#This Row],[New_Followers]]-Table2[[#This Row],[Unfollows]]</f>
        <v>499</v>
      </c>
      <c r="F186" s="9">
        <v>267546</v>
      </c>
      <c r="G186" s="9">
        <v>8.58</v>
      </c>
      <c r="H186" s="73">
        <v>25058</v>
      </c>
      <c r="I186" s="81">
        <f>(Table2[[#This Row],[Total_Followers]]-F183)/F183</f>
        <v>1.2917715989104179</v>
      </c>
      <c r="J186" s="9" t="str" cm="1">
        <f t="array" ref="J186">IFERROR(INDEX(Table3[[#All],[Campaign_Name]],MATCH(1,(Table2[[#This Row],[Week_Start_Date]]&gt;=Table3[[#All],[Start_Date]])*(Table2[[#This Row],[Week_Start_Date]]&lt;=Table3[[#All],[End_Date]]),0)),"No Campign")</f>
        <v>No Campign</v>
      </c>
      <c r="K186" s="109">
        <f>Table2[[#This Row],[Engagement_Rate]]/Table2[[#This Row],[Ad_Spend]]</f>
        <v>3.4240561896400353E-4</v>
      </c>
    </row>
    <row r="187" spans="1:11">
      <c r="A187" s="10">
        <v>45873</v>
      </c>
      <c r="B187" s="1" t="s">
        <v>28</v>
      </c>
      <c r="C187" s="9">
        <v>616</v>
      </c>
      <c r="D187" s="9">
        <v>93</v>
      </c>
      <c r="E187" s="9">
        <f>Table2[[#This Row],[New_Followers]]-Table2[[#This Row],[Unfollows]]</f>
        <v>523</v>
      </c>
      <c r="F187" s="9">
        <v>133082</v>
      </c>
      <c r="G187" s="9">
        <v>8.51</v>
      </c>
      <c r="H187" s="73">
        <v>18303</v>
      </c>
      <c r="I187" s="81">
        <f>(Table2[[#This Row],[Total_Followers]]-F184)/F184</f>
        <v>0.63926389436342135</v>
      </c>
      <c r="J187" s="9" t="str" cm="1">
        <f t="array" ref="J187">IFERROR(INDEX(Table3[[#All],[Campaign_Name]],MATCH(1,(Table2[[#This Row],[Week_Start_Date]]&gt;=Table3[[#All],[Start_Date]])*(Table2[[#This Row],[Week_Start_Date]]&lt;=Table3[[#All],[End_Date]]),0)),"No Campign")</f>
        <v>No Campign</v>
      </c>
      <c r="K187" s="109">
        <f>Table2[[#This Row],[Engagement_Rate]]/Table2[[#This Row],[Ad_Spend]]</f>
        <v>4.6495110091241874E-4</v>
      </c>
    </row>
    <row r="188" spans="1:11">
      <c r="A188" s="10">
        <v>45880</v>
      </c>
      <c r="B188" s="1" t="s">
        <v>13</v>
      </c>
      <c r="C188" s="9">
        <v>1080</v>
      </c>
      <c r="D188" s="9">
        <v>184</v>
      </c>
      <c r="E188" s="9">
        <f>Table2[[#This Row],[New_Followers]]-Table2[[#This Row],[Unfollows]]</f>
        <v>896</v>
      </c>
      <c r="F188" s="9">
        <v>340557</v>
      </c>
      <c r="G188" s="9">
        <v>5.41</v>
      </c>
      <c r="H188" s="73">
        <v>5526</v>
      </c>
      <c r="I188" s="81">
        <f>(Table2[[#This Row],[Total_Followers]]-F185)/F185</f>
        <v>2.9087872736037461</v>
      </c>
      <c r="J188" s="9" t="str" cm="1">
        <f t="array" ref="J188">IFERROR(INDEX(Table3[[#All],[Campaign_Name]],MATCH(1,(Table2[[#This Row],[Week_Start_Date]]&gt;=Table3[[#All],[Start_Date]])*(Table2[[#This Row],[Week_Start_Date]]&lt;=Table3[[#All],[End_Date]]),0)),"No Campign")</f>
        <v>No Campign</v>
      </c>
      <c r="K188" s="109">
        <f>Table2[[#This Row],[Engagement_Rate]]/Table2[[#This Row],[Ad_Spend]]</f>
        <v>9.7900832428519718E-4</v>
      </c>
    </row>
    <row r="189" spans="1:11">
      <c r="A189" s="10">
        <v>45880</v>
      </c>
      <c r="B189" s="1" t="s">
        <v>22</v>
      </c>
      <c r="C189" s="9">
        <v>938</v>
      </c>
      <c r="D189" s="9">
        <v>236</v>
      </c>
      <c r="E189" s="9">
        <f>Table2[[#This Row],[New_Followers]]-Table2[[#This Row],[Unfollows]]</f>
        <v>702</v>
      </c>
      <c r="F189" s="9">
        <v>116472</v>
      </c>
      <c r="G189" s="9">
        <v>8.7200000000000006</v>
      </c>
      <c r="H189" s="73">
        <v>17460</v>
      </c>
      <c r="I189" s="81">
        <f>(Table2[[#This Row],[Total_Followers]]-F186)/F186</f>
        <v>-0.56466551546276156</v>
      </c>
      <c r="J189" s="9" t="str" cm="1">
        <f t="array" ref="J189">IFERROR(INDEX(Table3[[#All],[Campaign_Name]],MATCH(1,(Table2[[#This Row],[Week_Start_Date]]&gt;=Table3[[#All],[Start_Date]])*(Table2[[#This Row],[Week_Start_Date]]&lt;=Table3[[#All],[End_Date]]),0)),"No Campign")</f>
        <v>No Campign</v>
      </c>
      <c r="K189" s="109">
        <f>Table2[[#This Row],[Engagement_Rate]]/Table2[[#This Row],[Ad_Spend]]</f>
        <v>4.9942726231386029E-4</v>
      </c>
    </row>
    <row r="190" spans="1:11">
      <c r="A190" s="10">
        <v>45880</v>
      </c>
      <c r="B190" s="1" t="s">
        <v>28</v>
      </c>
      <c r="C190" s="9">
        <v>1007</v>
      </c>
      <c r="D190" s="9">
        <v>258</v>
      </c>
      <c r="E190" s="9">
        <f>Table2[[#This Row],[New_Followers]]-Table2[[#This Row],[Unfollows]]</f>
        <v>749</v>
      </c>
      <c r="F190" s="9">
        <v>113412</v>
      </c>
      <c r="G190" s="9">
        <v>7.71</v>
      </c>
      <c r="H190" s="73">
        <v>14475</v>
      </c>
      <c r="I190" s="81">
        <f>(Table2[[#This Row],[Total_Followers]]-F187)/F187</f>
        <v>-0.14780360980448146</v>
      </c>
      <c r="J190" s="9" t="str" cm="1">
        <f t="array" ref="J190">IFERROR(INDEX(Table3[[#All],[Campaign_Name]],MATCH(1,(Table2[[#This Row],[Week_Start_Date]]&gt;=Table3[[#All],[Start_Date]])*(Table2[[#This Row],[Week_Start_Date]]&lt;=Table3[[#All],[End_Date]]),0)),"No Campign")</f>
        <v>No Campign</v>
      </c>
      <c r="K190" s="109">
        <f>Table2[[#This Row],[Engagement_Rate]]/Table2[[#This Row],[Ad_Spend]]</f>
        <v>5.3264248704663214E-4</v>
      </c>
    </row>
    <row r="191" spans="1:11">
      <c r="A191" s="10">
        <v>45887</v>
      </c>
      <c r="B191" s="1" t="s">
        <v>13</v>
      </c>
      <c r="C191" s="9">
        <v>541</v>
      </c>
      <c r="D191" s="9">
        <v>208</v>
      </c>
      <c r="E191" s="9">
        <f>Table2[[#This Row],[New_Followers]]-Table2[[#This Row],[Unfollows]]</f>
        <v>333</v>
      </c>
      <c r="F191" s="9">
        <v>157547</v>
      </c>
      <c r="G191" s="9">
        <v>8.35</v>
      </c>
      <c r="H191" s="73">
        <v>20162</v>
      </c>
      <c r="I191" s="81">
        <f>(Table2[[#This Row],[Total_Followers]]-F188)/F188</f>
        <v>-0.53738434388369638</v>
      </c>
      <c r="J191" s="9" t="str" cm="1">
        <f t="array" ref="J191">IFERROR(INDEX(Table3[[#All],[Campaign_Name]],MATCH(1,(Table2[[#This Row],[Week_Start_Date]]&gt;=Table3[[#All],[Start_Date]])*(Table2[[#This Row],[Week_Start_Date]]&lt;=Table3[[#All],[End_Date]]),0)),"No Campign")</f>
        <v>No Campign</v>
      </c>
      <c r="K191" s="109">
        <f>Table2[[#This Row],[Engagement_Rate]]/Table2[[#This Row],[Ad_Spend]]</f>
        <v>4.141454220811427E-4</v>
      </c>
    </row>
    <row r="192" spans="1:11">
      <c r="A192" s="10">
        <v>45887</v>
      </c>
      <c r="B192" s="1" t="s">
        <v>22</v>
      </c>
      <c r="C192" s="9">
        <v>745</v>
      </c>
      <c r="D192" s="9">
        <v>98</v>
      </c>
      <c r="E192" s="9">
        <f>Table2[[#This Row],[New_Followers]]-Table2[[#This Row],[Unfollows]]</f>
        <v>647</v>
      </c>
      <c r="F192" s="9">
        <v>354816</v>
      </c>
      <c r="G192" s="9">
        <v>4.03</v>
      </c>
      <c r="H192" s="73">
        <v>17103</v>
      </c>
      <c r="I192" s="81">
        <f>(Table2[[#This Row],[Total_Followers]]-F189)/F189</f>
        <v>2.046363074386977</v>
      </c>
      <c r="J192" s="9" t="str" cm="1">
        <f t="array" ref="J192">IFERROR(INDEX(Table3[[#All],[Campaign_Name]],MATCH(1,(Table2[[#This Row],[Week_Start_Date]]&gt;=Table3[[#All],[Start_Date]])*(Table2[[#This Row],[Week_Start_Date]]&lt;=Table3[[#All],[End_Date]]),0)),"No Campign")</f>
        <v>No Campign</v>
      </c>
      <c r="K192" s="109">
        <f>Table2[[#This Row],[Engagement_Rate]]/Table2[[#This Row],[Ad_Spend]]</f>
        <v>2.3563117581710811E-4</v>
      </c>
    </row>
    <row r="193" spans="1:11">
      <c r="A193" s="10">
        <v>45887</v>
      </c>
      <c r="B193" s="1" t="s">
        <v>28</v>
      </c>
      <c r="C193" s="9">
        <v>936</v>
      </c>
      <c r="D193" s="9">
        <v>97</v>
      </c>
      <c r="E193" s="9">
        <f>Table2[[#This Row],[New_Followers]]-Table2[[#This Row],[Unfollows]]</f>
        <v>839</v>
      </c>
      <c r="F193" s="9">
        <v>151799</v>
      </c>
      <c r="G193" s="9">
        <v>9.3699999999999992</v>
      </c>
      <c r="H193" s="73">
        <v>15461</v>
      </c>
      <c r="I193" s="81">
        <f>(Table2[[#This Row],[Total_Followers]]-F190)/F190</f>
        <v>0.33847388283426799</v>
      </c>
      <c r="J193" s="9" t="str" cm="1">
        <f t="array" ref="J193">IFERROR(INDEX(Table3[[#All],[Campaign_Name]],MATCH(1,(Table2[[#This Row],[Week_Start_Date]]&gt;=Table3[[#All],[Start_Date]])*(Table2[[#This Row],[Week_Start_Date]]&lt;=Table3[[#All],[End_Date]]),0)),"No Campign")</f>
        <v>No Campign</v>
      </c>
      <c r="K193" s="109">
        <f>Table2[[#This Row],[Engagement_Rate]]/Table2[[#This Row],[Ad_Spend]]</f>
        <v>6.0604100640320802E-4</v>
      </c>
    </row>
    <row r="194" spans="1:11">
      <c r="A194" s="10">
        <v>45894</v>
      </c>
      <c r="B194" s="1" t="s">
        <v>13</v>
      </c>
      <c r="C194" s="9">
        <v>1183</v>
      </c>
      <c r="D194" s="9">
        <v>223</v>
      </c>
      <c r="E194" s="9">
        <f>Table2[[#This Row],[New_Followers]]-Table2[[#This Row],[Unfollows]]</f>
        <v>960</v>
      </c>
      <c r="F194" s="9">
        <v>143811</v>
      </c>
      <c r="G194" s="9">
        <v>6.07</v>
      </c>
      <c r="H194" s="73">
        <v>22103</v>
      </c>
      <c r="I194" s="81">
        <f>(Table2[[#This Row],[Total_Followers]]-F191)/F191</f>
        <v>-8.7186680800015237E-2</v>
      </c>
      <c r="J194" s="9" t="str" cm="1">
        <f t="array" ref="J194">IFERROR(INDEX(Table3[[#All],[Campaign_Name]],MATCH(1,(Table2[[#This Row],[Week_Start_Date]]&gt;=Table3[[#All],[Start_Date]])*(Table2[[#This Row],[Week_Start_Date]]&lt;=Table3[[#All],[End_Date]]),0)),"No Campign")</f>
        <v>No Campign</v>
      </c>
      <c r="K194" s="109">
        <f>Table2[[#This Row],[Engagement_Rate]]/Table2[[#This Row],[Ad_Spend]]</f>
        <v>2.7462335429579695E-4</v>
      </c>
    </row>
    <row r="195" spans="1:11">
      <c r="A195" s="10">
        <v>45894</v>
      </c>
      <c r="B195" s="1" t="s">
        <v>22</v>
      </c>
      <c r="C195" s="9">
        <v>1413</v>
      </c>
      <c r="D195" s="9">
        <v>245</v>
      </c>
      <c r="E195" s="9">
        <f>Table2[[#This Row],[New_Followers]]-Table2[[#This Row],[Unfollows]]</f>
        <v>1168</v>
      </c>
      <c r="F195" s="9">
        <v>296450</v>
      </c>
      <c r="G195" s="9">
        <v>6.52</v>
      </c>
      <c r="H195" s="73">
        <v>11625</v>
      </c>
      <c r="I195" s="81">
        <f>(Table2[[#This Row],[Total_Followers]]-F192)/F192</f>
        <v>-0.16449652777777779</v>
      </c>
      <c r="J195" s="9" t="str" cm="1">
        <f t="array" ref="J195">IFERROR(INDEX(Table3[[#All],[Campaign_Name]],MATCH(1,(Table2[[#This Row],[Week_Start_Date]]&gt;=Table3[[#All],[Start_Date]])*(Table2[[#This Row],[Week_Start_Date]]&lt;=Table3[[#All],[End_Date]]),0)),"No Campign")</f>
        <v>No Campign</v>
      </c>
      <c r="K195" s="109">
        <f>Table2[[#This Row],[Engagement_Rate]]/Table2[[#This Row],[Ad_Spend]]</f>
        <v>5.6086021505376336E-4</v>
      </c>
    </row>
    <row r="196" spans="1:11">
      <c r="A196" s="10">
        <v>45894</v>
      </c>
      <c r="B196" s="1" t="s">
        <v>28</v>
      </c>
      <c r="C196" s="9">
        <v>791</v>
      </c>
      <c r="D196" s="9">
        <v>273</v>
      </c>
      <c r="E196" s="9">
        <f>Table2[[#This Row],[New_Followers]]-Table2[[#This Row],[Unfollows]]</f>
        <v>518</v>
      </c>
      <c r="F196" s="9">
        <v>144049</v>
      </c>
      <c r="G196" s="9">
        <v>3.08</v>
      </c>
      <c r="H196" s="73">
        <v>5281</v>
      </c>
      <c r="I196" s="81">
        <f>(Table2[[#This Row],[Total_Followers]]-F193)/F193</f>
        <v>-5.1054354771770567E-2</v>
      </c>
      <c r="J196" s="9" t="str" cm="1">
        <f t="array" ref="J196">IFERROR(INDEX(Table3[[#All],[Campaign_Name]],MATCH(1,(Table2[[#This Row],[Week_Start_Date]]&gt;=Table3[[#All],[Start_Date]])*(Table2[[#This Row],[Week_Start_Date]]&lt;=Table3[[#All],[End_Date]]),0)),"No Campign")</f>
        <v>No Campign</v>
      </c>
      <c r="K196" s="109">
        <f>Table2[[#This Row],[Engagement_Rate]]/Table2[[#This Row],[Ad_Spend]]</f>
        <v>5.8322287445559549E-4</v>
      </c>
    </row>
    <row r="197" spans="1:11">
      <c r="A197" s="10">
        <v>45901</v>
      </c>
      <c r="B197" s="1" t="s">
        <v>13</v>
      </c>
      <c r="C197" s="9">
        <v>1052</v>
      </c>
      <c r="D197" s="9">
        <v>180</v>
      </c>
      <c r="E197" s="9">
        <f>Table2[[#This Row],[New_Followers]]-Table2[[#This Row],[Unfollows]]</f>
        <v>872</v>
      </c>
      <c r="F197" s="9">
        <v>272534</v>
      </c>
      <c r="G197" s="9">
        <v>5.34</v>
      </c>
      <c r="H197" s="73">
        <v>13424</v>
      </c>
      <c r="I197" s="81">
        <f>(Table2[[#This Row],[Total_Followers]]-F194)/F194</f>
        <v>0.89508452065558264</v>
      </c>
      <c r="J197" s="9" t="str" cm="1">
        <f t="array" ref="J197">IFERROR(INDEX(Table3[[#All],[Campaign_Name]],MATCH(1,(Table2[[#This Row],[Week_Start_Date]]&gt;=Table3[[#All],[Start_Date]])*(Table2[[#This Row],[Week_Start_Date]]&lt;=Table3[[#All],[End_Date]]),0)),"No Campign")</f>
        <v>No Campign</v>
      </c>
      <c r="K197" s="109">
        <f>Table2[[#This Row],[Engagement_Rate]]/Table2[[#This Row],[Ad_Spend]]</f>
        <v>3.9779499404052441E-4</v>
      </c>
    </row>
    <row r="198" spans="1:11">
      <c r="A198" s="10">
        <v>45901</v>
      </c>
      <c r="B198" s="1" t="s">
        <v>22</v>
      </c>
      <c r="C198" s="9">
        <v>572</v>
      </c>
      <c r="D198" s="9">
        <v>270</v>
      </c>
      <c r="E198" s="9">
        <f>Table2[[#This Row],[New_Followers]]-Table2[[#This Row],[Unfollows]]</f>
        <v>302</v>
      </c>
      <c r="F198" s="9">
        <v>82265</v>
      </c>
      <c r="G198" s="9">
        <v>3.65</v>
      </c>
      <c r="H198" s="73">
        <v>13140</v>
      </c>
      <c r="I198" s="81">
        <f>(Table2[[#This Row],[Total_Followers]]-F195)/F195</f>
        <v>-0.72249957834373424</v>
      </c>
      <c r="J198" s="9" t="str" cm="1">
        <f t="array" ref="J198">IFERROR(INDEX(Table3[[#All],[Campaign_Name]],MATCH(1,(Table2[[#This Row],[Week_Start_Date]]&gt;=Table3[[#All],[Start_Date]])*(Table2[[#This Row],[Week_Start_Date]]&lt;=Table3[[#All],[End_Date]]),0)),"No Campign")</f>
        <v>No Campign</v>
      </c>
      <c r="K198" s="109">
        <f>Table2[[#This Row],[Engagement_Rate]]/Table2[[#This Row],[Ad_Spend]]</f>
        <v>2.7777777777777778E-4</v>
      </c>
    </row>
    <row r="199" spans="1:11">
      <c r="A199" s="10">
        <v>45901</v>
      </c>
      <c r="B199" s="1" t="s">
        <v>28</v>
      </c>
      <c r="C199" s="9">
        <v>503</v>
      </c>
      <c r="D199" s="9">
        <v>253</v>
      </c>
      <c r="E199" s="9">
        <f>Table2[[#This Row],[New_Followers]]-Table2[[#This Row],[Unfollows]]</f>
        <v>250</v>
      </c>
      <c r="F199" s="9">
        <v>313562</v>
      </c>
      <c r="G199" s="9">
        <v>4.18</v>
      </c>
      <c r="H199" s="73">
        <v>19538</v>
      </c>
      <c r="I199" s="81">
        <f>(Table2[[#This Row],[Total_Followers]]-F196)/F196</f>
        <v>1.1767731813480136</v>
      </c>
      <c r="J199" s="9" t="str" cm="1">
        <f t="array" ref="J199">IFERROR(INDEX(Table3[[#All],[Campaign_Name]],MATCH(1,(Table2[[#This Row],[Week_Start_Date]]&gt;=Table3[[#All],[Start_Date]])*(Table2[[#This Row],[Week_Start_Date]]&lt;=Table3[[#All],[End_Date]]),0)),"No Campign")</f>
        <v>No Campign</v>
      </c>
      <c r="K199" s="109">
        <f>Table2[[#This Row],[Engagement_Rate]]/Table2[[#This Row],[Ad_Spend]]</f>
        <v>2.1394206162350291E-4</v>
      </c>
    </row>
    <row r="200" spans="1:11">
      <c r="A200" s="10">
        <v>45908</v>
      </c>
      <c r="B200" s="1" t="s">
        <v>13</v>
      </c>
      <c r="C200" s="9">
        <v>1017</v>
      </c>
      <c r="D200" s="9">
        <v>197</v>
      </c>
      <c r="E200" s="9">
        <f>Table2[[#This Row],[New_Followers]]-Table2[[#This Row],[Unfollows]]</f>
        <v>820</v>
      </c>
      <c r="F200" s="9">
        <v>89918</v>
      </c>
      <c r="G200" s="9">
        <v>3.91</v>
      </c>
      <c r="H200" s="73">
        <v>7881</v>
      </c>
      <c r="I200" s="81">
        <f>(Table2[[#This Row],[Total_Followers]]-F197)/F197</f>
        <v>-0.6700668540438991</v>
      </c>
      <c r="J200" s="9" t="str" cm="1">
        <f t="array" ref="J200">IFERROR(INDEX(Table3[[#All],[Campaign_Name]],MATCH(1,(Table2[[#This Row],[Week_Start_Date]]&gt;=Table3[[#All],[Start_Date]])*(Table2[[#This Row],[Week_Start_Date]]&lt;=Table3[[#All],[End_Date]]),0)),"No Campign")</f>
        <v>No Campign</v>
      </c>
      <c r="K200" s="109">
        <f>Table2[[#This Row],[Engagement_Rate]]/Table2[[#This Row],[Ad_Spend]]</f>
        <v>4.9612993274965106E-4</v>
      </c>
    </row>
    <row r="201" spans="1:11">
      <c r="A201" s="10">
        <v>45908</v>
      </c>
      <c r="B201" s="1" t="s">
        <v>22</v>
      </c>
      <c r="C201" s="9">
        <v>860</v>
      </c>
      <c r="D201" s="9">
        <v>244</v>
      </c>
      <c r="E201" s="9">
        <f>Table2[[#This Row],[New_Followers]]-Table2[[#This Row],[Unfollows]]</f>
        <v>616</v>
      </c>
      <c r="F201" s="9">
        <v>348686</v>
      </c>
      <c r="G201" s="9">
        <v>5.12</v>
      </c>
      <c r="H201" s="73">
        <v>11418</v>
      </c>
      <c r="I201" s="81">
        <f>(Table2[[#This Row],[Total_Followers]]-F198)/F198</f>
        <v>3.2385704734698839</v>
      </c>
      <c r="J201" s="9" t="str" cm="1">
        <f t="array" ref="J201">IFERROR(INDEX(Table3[[#All],[Campaign_Name]],MATCH(1,(Table2[[#This Row],[Week_Start_Date]]&gt;=Table3[[#All],[Start_Date]])*(Table2[[#This Row],[Week_Start_Date]]&lt;=Table3[[#All],[End_Date]]),0)),"No Campign")</f>
        <v>No Campign</v>
      </c>
      <c r="K201" s="109">
        <f>Table2[[#This Row],[Engagement_Rate]]/Table2[[#This Row],[Ad_Spend]]</f>
        <v>4.4841478367489929E-4</v>
      </c>
    </row>
  </sheetData>
  <conditionalFormatting sqref="I2:K201">
    <cfRule type="expression" dxfId="242" priority="2">
      <formula>MOD(ROW(),2)=0</formula>
    </cfRule>
  </conditionalFormatting>
  <conditionalFormatting sqref="E2:E201">
    <cfRule type="expression" dxfId="241" priority="1">
      <formula>MOD(ROW(),2)=0</formula>
    </cfRule>
  </conditionalFormatting>
  <pageMargins left="0.7" right="0.7" top="0.75" bottom="0.75" header="0" footer="0"/>
  <pageSetup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000"/>
  <sheetViews>
    <sheetView workbookViewId="0">
      <selection activeCell="C1" sqref="C1"/>
    </sheetView>
  </sheetViews>
  <sheetFormatPr defaultColWidth="14.42578125" defaultRowHeight="15" customHeight="1"/>
  <cols>
    <col min="1" max="1" width="25.5703125" customWidth="1"/>
    <col min="2" max="2" width="18" customWidth="1"/>
    <col min="3" max="3" width="18.140625" customWidth="1"/>
    <col min="4" max="4" width="15" customWidth="1"/>
    <col min="5" max="5" width="18.28515625" style="7" customWidth="1"/>
    <col min="6" max="6" width="24.42578125" customWidth="1"/>
    <col min="7" max="7" width="35.140625" bestFit="1" customWidth="1"/>
    <col min="8" max="26" width="8.7109375" customWidth="1"/>
  </cols>
  <sheetData>
    <row r="1" spans="1:7">
      <c r="A1" s="3" t="s">
        <v>11</v>
      </c>
      <c r="B1" s="102" t="s">
        <v>341</v>
      </c>
      <c r="C1" s="3" t="s">
        <v>342</v>
      </c>
      <c r="D1" s="3" t="s">
        <v>343</v>
      </c>
      <c r="E1" s="11" t="s">
        <v>344</v>
      </c>
      <c r="F1" s="3" t="s">
        <v>345</v>
      </c>
      <c r="G1" s="3" t="s">
        <v>346</v>
      </c>
    </row>
    <row r="2" spans="1:7">
      <c r="A2" s="2" t="s">
        <v>53</v>
      </c>
      <c r="B2" s="103">
        <v>45458</v>
      </c>
      <c r="C2" s="103">
        <v>45488</v>
      </c>
      <c r="D2" s="2" t="s">
        <v>347</v>
      </c>
      <c r="E2" s="12">
        <v>175000</v>
      </c>
      <c r="F2" s="2" t="s">
        <v>348</v>
      </c>
      <c r="G2" s="2" t="s">
        <v>349</v>
      </c>
    </row>
    <row r="3" spans="1:7">
      <c r="A3" s="2" t="s">
        <v>50</v>
      </c>
      <c r="B3" s="103">
        <v>45627</v>
      </c>
      <c r="C3" s="103">
        <v>45657</v>
      </c>
      <c r="D3" s="2" t="s">
        <v>350</v>
      </c>
      <c r="E3" s="12">
        <v>225000</v>
      </c>
      <c r="F3" s="2" t="s">
        <v>351</v>
      </c>
      <c r="G3" s="2" t="s">
        <v>352</v>
      </c>
    </row>
    <row r="4" spans="1:7">
      <c r="A4" s="2" t="s">
        <v>16</v>
      </c>
      <c r="B4" s="103">
        <v>45667</v>
      </c>
      <c r="C4" s="103">
        <v>45698</v>
      </c>
      <c r="D4" s="2" t="s">
        <v>353</v>
      </c>
      <c r="E4" s="12">
        <v>200000</v>
      </c>
      <c r="F4" s="2" t="s">
        <v>354</v>
      </c>
      <c r="G4" s="2" t="s">
        <v>355</v>
      </c>
    </row>
    <row r="5" spans="1:7">
      <c r="A5" s="2" t="s">
        <v>20</v>
      </c>
      <c r="B5" s="103">
        <v>45717</v>
      </c>
      <c r="C5" s="103">
        <v>45747</v>
      </c>
      <c r="D5" s="2" t="s">
        <v>356</v>
      </c>
      <c r="E5" s="12">
        <v>160000</v>
      </c>
      <c r="F5" s="2" t="s">
        <v>357</v>
      </c>
      <c r="G5" s="2" t="s">
        <v>358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134A-86FF-42D1-AE33-A30E5FCFFC50}">
  <sheetPr>
    <tabColor theme="1"/>
  </sheetPr>
  <dimension ref="A1"/>
  <sheetViews>
    <sheetView showGridLines="0" workbookViewId="0">
      <selection activeCell="A19" sqref="A19"/>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D661"/>
  </sheetPr>
  <dimension ref="A1:AQ1000"/>
  <sheetViews>
    <sheetView topLeftCell="F1" zoomScale="96" zoomScaleNormal="96" workbookViewId="0">
      <selection activeCell="K2" sqref="K2"/>
    </sheetView>
  </sheetViews>
  <sheetFormatPr defaultColWidth="14.42578125" defaultRowHeight="15" customHeight="1"/>
  <cols>
    <col min="1" max="1" width="10.42578125" customWidth="1"/>
    <col min="2" max="2" width="11.5703125" customWidth="1"/>
    <col min="3" max="3" width="18.85546875" customWidth="1"/>
    <col min="4" max="4" width="16.85546875" customWidth="1"/>
    <col min="5" max="5" width="44.140625" bestFit="1" customWidth="1"/>
    <col min="6" max="6" width="8.7109375" style="7" customWidth="1"/>
    <col min="7" max="7" width="10.28515625" style="7" customWidth="1"/>
    <col min="8" max="8" width="13.85546875" style="7" customWidth="1"/>
    <col min="9" max="9" width="15.42578125" style="7" customWidth="1"/>
    <col min="10" max="10" width="9.5703125" style="7" customWidth="1"/>
    <col min="11" max="11" width="9.28515625" style="7" customWidth="1"/>
    <col min="12" max="12" width="37.140625" bestFit="1" customWidth="1"/>
    <col min="13" max="13" width="20.42578125" customWidth="1"/>
    <col min="14" max="14" width="18.42578125" bestFit="1" customWidth="1"/>
    <col min="15" max="15" width="28.42578125" bestFit="1" customWidth="1"/>
    <col min="16" max="16" width="41.28515625" bestFit="1" customWidth="1"/>
    <col min="17" max="17" width="7.7109375" bestFit="1" customWidth="1"/>
    <col min="18" max="18" width="9.140625" bestFit="1" customWidth="1"/>
    <col min="19" max="19" width="12.85546875" bestFit="1" customWidth="1"/>
    <col min="20" max="20" width="14" bestFit="1" customWidth="1"/>
    <col min="21" max="21" width="8.5703125" bestFit="1" customWidth="1"/>
    <col min="22" max="22" width="8.28515625" bestFit="1" customWidth="1"/>
    <col min="23" max="24" width="18.5703125" bestFit="1" customWidth="1"/>
    <col min="25" max="25" width="18.42578125" bestFit="1" customWidth="1"/>
  </cols>
  <sheetData>
    <row r="1" spans="1:15">
      <c r="A1" t="s">
        <v>0</v>
      </c>
      <c r="B1" t="s">
        <v>1</v>
      </c>
      <c r="C1" t="s">
        <v>365</v>
      </c>
      <c r="D1" t="s">
        <v>3</v>
      </c>
      <c r="E1" t="s">
        <v>4</v>
      </c>
      <c r="F1" s="29" t="s">
        <v>379</v>
      </c>
      <c r="G1" s="29" t="s">
        <v>378</v>
      </c>
      <c r="H1" s="29" t="s">
        <v>377</v>
      </c>
      <c r="I1" s="7" t="s">
        <v>8</v>
      </c>
      <c r="J1" s="7" t="s">
        <v>9</v>
      </c>
      <c r="K1" s="7" t="s">
        <v>10</v>
      </c>
      <c r="L1" t="s">
        <v>361</v>
      </c>
      <c r="M1" t="s">
        <v>362</v>
      </c>
      <c r="N1" t="s">
        <v>11</v>
      </c>
      <c r="O1" s="110" t="s">
        <v>434</v>
      </c>
    </row>
    <row r="2" spans="1:15">
      <c r="A2" s="4" t="s">
        <v>12</v>
      </c>
      <c r="B2" s="4" t="s">
        <v>13</v>
      </c>
      <c r="C2" s="111">
        <v>45781</v>
      </c>
      <c r="D2" s="4" t="s">
        <v>14</v>
      </c>
      <c r="E2" s="4" t="s">
        <v>15</v>
      </c>
      <c r="F2" s="7">
        <v>2414</v>
      </c>
      <c r="G2" s="7">
        <v>245</v>
      </c>
      <c r="H2" s="7">
        <v>137</v>
      </c>
      <c r="I2" s="7">
        <v>21181</v>
      </c>
      <c r="J2" s="7">
        <v>45292</v>
      </c>
      <c r="K2" s="7">
        <v>133</v>
      </c>
      <c r="L2" s="4" t="s">
        <v>40</v>
      </c>
      <c r="M2" s="4" t="s">
        <v>37</v>
      </c>
      <c r="N2" s="4" t="s">
        <v>16</v>
      </c>
      <c r="O2" s="13">
        <f t="shared" ref="O2:O65" si="0">(F2+H2+G2)/I2</f>
        <v>0.13200509890939993</v>
      </c>
    </row>
    <row r="3" spans="1:15">
      <c r="A3" s="4" t="s">
        <v>17</v>
      </c>
      <c r="B3" s="4" t="s">
        <v>13</v>
      </c>
      <c r="C3" s="111">
        <v>45689</v>
      </c>
      <c r="D3" s="4" t="s">
        <v>14</v>
      </c>
      <c r="E3" s="4" t="s">
        <v>18</v>
      </c>
      <c r="F3" s="7">
        <v>1934</v>
      </c>
      <c r="G3" s="7">
        <v>210</v>
      </c>
      <c r="H3" s="7">
        <v>393</v>
      </c>
      <c r="I3" s="7">
        <v>29129</v>
      </c>
      <c r="J3" s="7">
        <v>73287</v>
      </c>
      <c r="K3" s="7">
        <v>273</v>
      </c>
      <c r="L3" s="4" t="s">
        <v>19</v>
      </c>
      <c r="M3" s="4"/>
      <c r="N3" s="4" t="s">
        <v>20</v>
      </c>
      <c r="O3" s="13">
        <f t="shared" si="0"/>
        <v>8.7095334546328396E-2</v>
      </c>
    </row>
    <row r="4" spans="1:15">
      <c r="A4" s="4" t="s">
        <v>21</v>
      </c>
      <c r="B4" s="4" t="s">
        <v>22</v>
      </c>
      <c r="C4" s="111">
        <v>45629</v>
      </c>
      <c r="D4" s="4" t="s">
        <v>23</v>
      </c>
      <c r="E4" s="4" t="s">
        <v>24</v>
      </c>
      <c r="F4" s="7">
        <v>3092</v>
      </c>
      <c r="G4" s="7">
        <v>177</v>
      </c>
      <c r="H4" s="7">
        <v>81</v>
      </c>
      <c r="I4" s="7">
        <v>47533</v>
      </c>
      <c r="J4" s="7">
        <v>29220</v>
      </c>
      <c r="K4" s="7">
        <v>121</v>
      </c>
      <c r="L4" s="4" t="s">
        <v>363</v>
      </c>
      <c r="M4" s="4" t="s">
        <v>37</v>
      </c>
      <c r="N4" s="4" t="s">
        <v>16</v>
      </c>
      <c r="O4" s="13">
        <f t="shared" si="0"/>
        <v>7.0477352576105018E-2</v>
      </c>
    </row>
    <row r="5" spans="1:15">
      <c r="A5" s="4" t="s">
        <v>25</v>
      </c>
      <c r="B5" s="4" t="s">
        <v>13</v>
      </c>
      <c r="C5" s="111">
        <v>45629</v>
      </c>
      <c r="D5" s="4" t="s">
        <v>14</v>
      </c>
      <c r="E5" s="4" t="s">
        <v>26</v>
      </c>
      <c r="F5" s="7">
        <v>3173</v>
      </c>
      <c r="G5" s="7">
        <v>229</v>
      </c>
      <c r="H5" s="7">
        <v>197</v>
      </c>
      <c r="I5" s="7">
        <v>29604</v>
      </c>
      <c r="J5" s="7">
        <v>21809</v>
      </c>
      <c r="K5" s="7">
        <v>272</v>
      </c>
      <c r="L5" s="4" t="s">
        <v>40</v>
      </c>
      <c r="M5" s="4" t="s">
        <v>37</v>
      </c>
      <c r="N5" s="4" t="s">
        <v>16</v>
      </c>
      <c r="O5" s="13">
        <f t="shared" si="0"/>
        <v>0.1215714092690177</v>
      </c>
    </row>
    <row r="6" spans="1:15">
      <c r="A6" s="4" t="s">
        <v>27</v>
      </c>
      <c r="B6" s="4" t="s">
        <v>28</v>
      </c>
      <c r="C6" s="111">
        <v>45388</v>
      </c>
      <c r="D6" s="4" t="s">
        <v>14</v>
      </c>
      <c r="E6" s="4" t="s">
        <v>29</v>
      </c>
      <c r="F6" s="7">
        <v>2748</v>
      </c>
      <c r="G6" s="7">
        <v>145</v>
      </c>
      <c r="H6" s="7">
        <v>315</v>
      </c>
      <c r="I6" s="7">
        <v>24401</v>
      </c>
      <c r="J6" s="7">
        <v>61182</v>
      </c>
      <c r="K6" s="7">
        <v>200</v>
      </c>
      <c r="L6" s="4" t="s">
        <v>19</v>
      </c>
      <c r="M6" s="4" t="s">
        <v>364</v>
      </c>
      <c r="N6" s="4" t="s">
        <v>20</v>
      </c>
      <c r="O6" s="13">
        <f t="shared" si="0"/>
        <v>0.1314700217204213</v>
      </c>
    </row>
    <row r="7" spans="1:15">
      <c r="A7" s="4" t="s">
        <v>30</v>
      </c>
      <c r="B7" s="4" t="s">
        <v>28</v>
      </c>
      <c r="C7" s="111">
        <v>45456</v>
      </c>
      <c r="D7" s="4" t="s">
        <v>14</v>
      </c>
      <c r="E7" s="4" t="s">
        <v>31</v>
      </c>
      <c r="F7" s="7">
        <v>3882</v>
      </c>
      <c r="G7" s="7">
        <v>239</v>
      </c>
      <c r="H7" s="7">
        <v>275</v>
      </c>
      <c r="I7" s="7">
        <v>58748</v>
      </c>
      <c r="J7" s="7">
        <v>44646</v>
      </c>
      <c r="K7" s="7">
        <v>149</v>
      </c>
      <c r="L7" s="4" t="s">
        <v>19</v>
      </c>
      <c r="M7" s="4" t="s">
        <v>364</v>
      </c>
      <c r="N7" s="4" t="s">
        <v>20</v>
      </c>
      <c r="O7" s="13">
        <f t="shared" si="0"/>
        <v>7.4828079253761837E-2</v>
      </c>
    </row>
    <row r="8" spans="1:15">
      <c r="A8" s="4" t="s">
        <v>32</v>
      </c>
      <c r="B8" s="4" t="s">
        <v>22</v>
      </c>
      <c r="C8" s="111">
        <v>45645</v>
      </c>
      <c r="D8" s="4" t="s">
        <v>23</v>
      </c>
      <c r="E8" s="4" t="s">
        <v>33</v>
      </c>
      <c r="F8" s="7">
        <v>4674</v>
      </c>
      <c r="G8" s="7">
        <v>409</v>
      </c>
      <c r="H8" s="7">
        <v>327</v>
      </c>
      <c r="I8" s="7">
        <v>20756</v>
      </c>
      <c r="J8" s="7">
        <v>63599</v>
      </c>
      <c r="K8" s="7">
        <v>212</v>
      </c>
      <c r="L8" s="4" t="s">
        <v>40</v>
      </c>
      <c r="M8" s="4" t="s">
        <v>37</v>
      </c>
      <c r="N8" s="4" t="s">
        <v>16</v>
      </c>
      <c r="O8" s="13">
        <f t="shared" si="0"/>
        <v>0.26064752360763155</v>
      </c>
    </row>
    <row r="9" spans="1:15">
      <c r="A9" s="4" t="s">
        <v>34</v>
      </c>
      <c r="B9" s="4" t="s">
        <v>22</v>
      </c>
      <c r="C9" s="111">
        <v>45421</v>
      </c>
      <c r="D9" s="4" t="s">
        <v>23</v>
      </c>
      <c r="E9" s="4" t="s">
        <v>26</v>
      </c>
      <c r="F9" s="7">
        <v>1428</v>
      </c>
      <c r="G9" s="7">
        <v>347</v>
      </c>
      <c r="H9" s="7">
        <v>67</v>
      </c>
      <c r="I9" s="7">
        <v>21148</v>
      </c>
      <c r="J9" s="7">
        <v>19712</v>
      </c>
      <c r="K9" s="7">
        <v>120</v>
      </c>
      <c r="L9" s="4" t="s">
        <v>19</v>
      </c>
      <c r="M9" s="4" t="s">
        <v>363</v>
      </c>
      <c r="N9" s="4" t="s">
        <v>16</v>
      </c>
      <c r="O9" s="13">
        <f t="shared" si="0"/>
        <v>8.7100435029317191E-2</v>
      </c>
    </row>
    <row r="10" spans="1:15">
      <c r="A10" s="4" t="s">
        <v>35</v>
      </c>
      <c r="B10" s="4" t="s">
        <v>22</v>
      </c>
      <c r="C10" s="111">
        <v>45823</v>
      </c>
      <c r="D10" s="4" t="s">
        <v>14</v>
      </c>
      <c r="E10" s="4" t="s">
        <v>36</v>
      </c>
      <c r="F10" s="7">
        <v>4432</v>
      </c>
      <c r="G10" s="7">
        <v>223</v>
      </c>
      <c r="H10" s="7">
        <v>299</v>
      </c>
      <c r="I10" s="7">
        <v>59016</v>
      </c>
      <c r="J10" s="7">
        <v>21742</v>
      </c>
      <c r="K10" s="7">
        <v>171</v>
      </c>
      <c r="L10" s="4" t="s">
        <v>37</v>
      </c>
      <c r="M10" s="4"/>
      <c r="N10" s="4" t="s">
        <v>16</v>
      </c>
      <c r="O10" s="13">
        <f t="shared" si="0"/>
        <v>8.3943337400027115E-2</v>
      </c>
    </row>
    <row r="11" spans="1:15">
      <c r="A11" s="4" t="s">
        <v>38</v>
      </c>
      <c r="B11" s="4" t="s">
        <v>22</v>
      </c>
      <c r="C11" s="111">
        <v>45630</v>
      </c>
      <c r="D11" s="4" t="s">
        <v>14</v>
      </c>
      <c r="E11" s="32" t="s">
        <v>26</v>
      </c>
      <c r="F11" s="7">
        <v>2357</v>
      </c>
      <c r="G11" s="7">
        <v>274</v>
      </c>
      <c r="H11" s="7">
        <v>172</v>
      </c>
      <c r="I11" s="7">
        <v>21566</v>
      </c>
      <c r="J11" s="7">
        <v>66829</v>
      </c>
      <c r="K11" s="7">
        <v>284</v>
      </c>
      <c r="L11" s="4" t="s">
        <v>37</v>
      </c>
      <c r="M11" s="4"/>
      <c r="N11" s="4" t="s">
        <v>16</v>
      </c>
      <c r="O11" s="13">
        <f t="shared" si="0"/>
        <v>0.12997310581470833</v>
      </c>
    </row>
    <row r="12" spans="1:15">
      <c r="A12" s="4" t="s">
        <v>39</v>
      </c>
      <c r="B12" s="4" t="s">
        <v>22</v>
      </c>
      <c r="C12" s="111">
        <v>45357</v>
      </c>
      <c r="D12" s="4" t="s">
        <v>14</v>
      </c>
      <c r="E12" s="4" t="s">
        <v>15</v>
      </c>
      <c r="F12" s="7">
        <v>1971</v>
      </c>
      <c r="G12" s="7">
        <v>370</v>
      </c>
      <c r="H12" s="7">
        <v>306</v>
      </c>
      <c r="I12" s="7">
        <v>31316</v>
      </c>
      <c r="J12" s="7">
        <v>27897</v>
      </c>
      <c r="K12" s="7">
        <v>88</v>
      </c>
      <c r="L12" s="4" t="s">
        <v>40</v>
      </c>
      <c r="M12" s="4"/>
      <c r="N12" s="4" t="s">
        <v>20</v>
      </c>
      <c r="O12" s="13">
        <f t="shared" si="0"/>
        <v>8.4525482181632389E-2</v>
      </c>
    </row>
    <row r="13" spans="1:15">
      <c r="A13" s="4" t="s">
        <v>41</v>
      </c>
      <c r="B13" s="4" t="s">
        <v>13</v>
      </c>
      <c r="C13" s="111">
        <v>45426</v>
      </c>
      <c r="D13" s="4" t="s">
        <v>14</v>
      </c>
      <c r="E13" s="4" t="s">
        <v>15</v>
      </c>
      <c r="F13" s="7">
        <v>1485</v>
      </c>
      <c r="G13" s="7">
        <v>353</v>
      </c>
      <c r="H13" s="7">
        <v>244</v>
      </c>
      <c r="I13" s="7">
        <v>38419</v>
      </c>
      <c r="J13" s="7">
        <v>38556</v>
      </c>
      <c r="K13" s="7">
        <v>86</v>
      </c>
      <c r="L13" s="4" t="s">
        <v>40</v>
      </c>
      <c r="M13" s="4" t="s">
        <v>37</v>
      </c>
      <c r="N13" s="4" t="s">
        <v>16</v>
      </c>
      <c r="O13" s="13">
        <f t="shared" si="0"/>
        <v>5.4191936281527367E-2</v>
      </c>
    </row>
    <row r="14" spans="1:15">
      <c r="A14" s="4" t="s">
        <v>42</v>
      </c>
      <c r="B14" s="4" t="s">
        <v>22</v>
      </c>
      <c r="C14" s="111">
        <v>45826</v>
      </c>
      <c r="D14" s="4" t="s">
        <v>23</v>
      </c>
      <c r="E14" s="4" t="s">
        <v>15</v>
      </c>
      <c r="F14" s="7">
        <v>3956</v>
      </c>
      <c r="G14" s="7">
        <v>319</v>
      </c>
      <c r="H14" s="7">
        <v>61</v>
      </c>
      <c r="I14" s="7">
        <v>58162</v>
      </c>
      <c r="J14" s="7">
        <v>28720</v>
      </c>
      <c r="K14" s="7">
        <v>213</v>
      </c>
      <c r="L14" s="4" t="s">
        <v>363</v>
      </c>
      <c r="M14" s="4" t="s">
        <v>37</v>
      </c>
      <c r="N14" s="4" t="s">
        <v>16</v>
      </c>
      <c r="O14" s="13">
        <f t="shared" si="0"/>
        <v>7.4550393727863554E-2</v>
      </c>
    </row>
    <row r="15" spans="1:15">
      <c r="A15" s="4" t="s">
        <v>43</v>
      </c>
      <c r="B15" s="4" t="s">
        <v>22</v>
      </c>
      <c r="C15" s="111">
        <v>45573</v>
      </c>
      <c r="D15" s="4" t="s">
        <v>14</v>
      </c>
      <c r="E15" s="4" t="s">
        <v>44</v>
      </c>
      <c r="F15" s="7">
        <v>2460</v>
      </c>
      <c r="G15" s="7">
        <v>409</v>
      </c>
      <c r="H15" s="7">
        <v>253</v>
      </c>
      <c r="I15" s="7">
        <v>36702</v>
      </c>
      <c r="J15" s="7">
        <v>46122</v>
      </c>
      <c r="K15" s="7">
        <v>264</v>
      </c>
      <c r="L15" s="4" t="s">
        <v>37</v>
      </c>
      <c r="M15" s="4"/>
      <c r="N15" s="4" t="s">
        <v>16</v>
      </c>
      <c r="O15" s="13">
        <f t="shared" si="0"/>
        <v>8.5063484278785892E-2</v>
      </c>
    </row>
    <row r="16" spans="1:15">
      <c r="A16" s="4" t="s">
        <v>45</v>
      </c>
      <c r="B16" s="4" t="s">
        <v>22</v>
      </c>
      <c r="C16" s="111">
        <v>45418</v>
      </c>
      <c r="D16" s="4" t="s">
        <v>14</v>
      </c>
      <c r="E16" s="4" t="s">
        <v>46</v>
      </c>
      <c r="F16" s="7">
        <v>3476</v>
      </c>
      <c r="G16" s="7">
        <v>355</v>
      </c>
      <c r="H16" s="7">
        <v>396</v>
      </c>
      <c r="I16" s="7">
        <v>37492</v>
      </c>
      <c r="J16" s="7">
        <v>27285</v>
      </c>
      <c r="K16" s="7">
        <v>179</v>
      </c>
      <c r="L16" s="4" t="s">
        <v>37</v>
      </c>
      <c r="M16" s="4"/>
      <c r="N16" s="4" t="s">
        <v>16</v>
      </c>
      <c r="O16" s="13">
        <f t="shared" si="0"/>
        <v>0.11274405206444041</v>
      </c>
    </row>
    <row r="17" spans="1:43">
      <c r="A17" s="4" t="s">
        <v>47</v>
      </c>
      <c r="B17" s="4" t="s">
        <v>22</v>
      </c>
      <c r="C17" s="111">
        <v>45655</v>
      </c>
      <c r="D17" s="4" t="s">
        <v>23</v>
      </c>
      <c r="E17" s="4" t="s">
        <v>24</v>
      </c>
      <c r="F17" s="7">
        <v>4049</v>
      </c>
      <c r="G17" s="7">
        <v>377</v>
      </c>
      <c r="H17" s="7">
        <v>94</v>
      </c>
      <c r="I17" s="7">
        <v>48182</v>
      </c>
      <c r="J17" s="7">
        <v>42875</v>
      </c>
      <c r="K17" s="7">
        <v>172</v>
      </c>
      <c r="L17" s="4" t="s">
        <v>363</v>
      </c>
      <c r="M17" s="4" t="s">
        <v>37</v>
      </c>
      <c r="N17" s="4" t="s">
        <v>16</v>
      </c>
      <c r="O17" s="13">
        <f t="shared" si="0"/>
        <v>9.3810966751068869E-2</v>
      </c>
    </row>
    <row r="18" spans="1:43">
      <c r="A18" s="4" t="s">
        <v>48</v>
      </c>
      <c r="B18" s="4" t="s">
        <v>22</v>
      </c>
      <c r="C18" s="111">
        <v>45453</v>
      </c>
      <c r="D18" s="4" t="s">
        <v>14</v>
      </c>
      <c r="E18" s="4" t="s">
        <v>31</v>
      </c>
      <c r="F18" s="7">
        <v>1514</v>
      </c>
      <c r="G18" s="7">
        <v>164</v>
      </c>
      <c r="H18" s="7">
        <v>275</v>
      </c>
      <c r="I18" s="7">
        <v>41364</v>
      </c>
      <c r="J18" s="7">
        <v>44389</v>
      </c>
      <c r="K18" s="7">
        <v>83</v>
      </c>
      <c r="L18" s="4" t="s">
        <v>37</v>
      </c>
      <c r="M18" s="4"/>
      <c r="N18" s="4" t="s">
        <v>16</v>
      </c>
      <c r="O18" s="13">
        <f t="shared" si="0"/>
        <v>4.7214969538729328E-2</v>
      </c>
    </row>
    <row r="19" spans="1:43">
      <c r="A19" s="4" t="s">
        <v>49</v>
      </c>
      <c r="B19" s="4" t="s">
        <v>13</v>
      </c>
      <c r="C19" s="111">
        <v>45325</v>
      </c>
      <c r="D19" s="4" t="s">
        <v>23</v>
      </c>
      <c r="E19" s="4" t="s">
        <v>29</v>
      </c>
      <c r="F19" s="7">
        <v>4281</v>
      </c>
      <c r="G19" s="7">
        <v>101</v>
      </c>
      <c r="H19" s="7">
        <v>163</v>
      </c>
      <c r="I19" s="7">
        <v>32278</v>
      </c>
      <c r="J19" s="7">
        <v>53382</v>
      </c>
      <c r="K19" s="7">
        <v>235</v>
      </c>
      <c r="L19" s="4" t="s">
        <v>37</v>
      </c>
      <c r="M19" s="4"/>
      <c r="N19" s="4" t="s">
        <v>50</v>
      </c>
      <c r="O19" s="13">
        <f t="shared" si="0"/>
        <v>0.1408079806679472</v>
      </c>
      <c r="AQ19" s="4">
        <f>SUMIF(B:B,"Instagram",O:O)</f>
        <v>8.0807399075835313</v>
      </c>
    </row>
    <row r="20" spans="1:43">
      <c r="A20" s="4" t="s">
        <v>51</v>
      </c>
      <c r="B20" s="4" t="s">
        <v>28</v>
      </c>
      <c r="C20" s="111">
        <v>45458</v>
      </c>
      <c r="D20" s="4" t="s">
        <v>52</v>
      </c>
      <c r="E20" s="4" t="s">
        <v>33</v>
      </c>
      <c r="F20" s="7">
        <v>1751</v>
      </c>
      <c r="G20" s="7">
        <v>143</v>
      </c>
      <c r="H20" s="7">
        <v>151</v>
      </c>
      <c r="I20" s="7">
        <v>31826</v>
      </c>
      <c r="J20" s="7">
        <v>47729</v>
      </c>
      <c r="K20" s="7">
        <v>95</v>
      </c>
      <c r="L20" s="4" t="s">
        <v>19</v>
      </c>
      <c r="M20" s="4" t="s">
        <v>40</v>
      </c>
      <c r="N20" s="4" t="s">
        <v>53</v>
      </c>
      <c r="O20" s="13">
        <f t="shared" si="0"/>
        <v>6.4255640042732362E-2</v>
      </c>
      <c r="AQ20">
        <f>SUMIF(B:B,"Twitter",O:O)</f>
        <v>14.213121741986557</v>
      </c>
    </row>
    <row r="21" spans="1:43">
      <c r="A21" s="4" t="s">
        <v>54</v>
      </c>
      <c r="B21" s="4" t="s">
        <v>13</v>
      </c>
      <c r="C21" s="111">
        <v>45478</v>
      </c>
      <c r="D21" s="4" t="s">
        <v>14</v>
      </c>
      <c r="E21" s="4" t="s">
        <v>46</v>
      </c>
      <c r="F21" s="7">
        <v>3753</v>
      </c>
      <c r="G21" s="7">
        <v>411</v>
      </c>
      <c r="H21" s="7">
        <v>308</v>
      </c>
      <c r="I21" s="7">
        <v>29138</v>
      </c>
      <c r="J21" s="7">
        <v>27678</v>
      </c>
      <c r="K21" s="7">
        <v>90</v>
      </c>
      <c r="L21" s="4" t="s">
        <v>19</v>
      </c>
      <c r="M21" s="4"/>
      <c r="N21" s="4" t="s">
        <v>20</v>
      </c>
      <c r="O21" s="13">
        <f t="shared" si="0"/>
        <v>0.15347655981879332</v>
      </c>
      <c r="AQ21">
        <f>SUMIF(B:B,"YouTube",O:O)</f>
        <v>5.5508114685009486</v>
      </c>
    </row>
    <row r="22" spans="1:43">
      <c r="A22" s="4" t="s">
        <v>55</v>
      </c>
      <c r="B22" s="4" t="s">
        <v>13</v>
      </c>
      <c r="C22" s="111">
        <v>45603</v>
      </c>
      <c r="D22" s="4" t="s">
        <v>23</v>
      </c>
      <c r="E22" s="4" t="s">
        <v>26</v>
      </c>
      <c r="F22" s="7">
        <v>1678</v>
      </c>
      <c r="G22" s="7">
        <v>423</v>
      </c>
      <c r="H22" s="7">
        <v>323</v>
      </c>
      <c r="I22" s="7">
        <v>55668</v>
      </c>
      <c r="J22" s="7">
        <v>37945</v>
      </c>
      <c r="K22" s="7">
        <v>230</v>
      </c>
      <c r="L22" s="4" t="s">
        <v>37</v>
      </c>
      <c r="M22" s="4"/>
      <c r="N22" s="4" t="s">
        <v>50</v>
      </c>
      <c r="O22" s="13">
        <f t="shared" si="0"/>
        <v>4.3543867212761371E-2</v>
      </c>
    </row>
    <row r="23" spans="1:43">
      <c r="A23" s="4" t="s">
        <v>56</v>
      </c>
      <c r="B23" s="4" t="s">
        <v>13</v>
      </c>
      <c r="C23" s="111">
        <v>45823</v>
      </c>
      <c r="D23" s="4" t="s">
        <v>14</v>
      </c>
      <c r="E23" s="4" t="s">
        <v>31</v>
      </c>
      <c r="F23" s="7">
        <v>4896</v>
      </c>
      <c r="G23" s="7">
        <v>466</v>
      </c>
      <c r="H23" s="7">
        <v>233</v>
      </c>
      <c r="I23" s="7">
        <v>28621</v>
      </c>
      <c r="J23" s="7">
        <v>34270</v>
      </c>
      <c r="K23" s="7">
        <v>84</v>
      </c>
      <c r="L23" s="4" t="s">
        <v>40</v>
      </c>
      <c r="M23" s="4" t="s">
        <v>37</v>
      </c>
      <c r="N23" s="4" t="s">
        <v>16</v>
      </c>
      <c r="O23" s="13">
        <f t="shared" si="0"/>
        <v>0.19548583208133888</v>
      </c>
    </row>
    <row r="24" spans="1:43">
      <c r="A24" s="4" t="s">
        <v>57</v>
      </c>
      <c r="B24" s="4" t="s">
        <v>28</v>
      </c>
      <c r="C24" s="111">
        <v>45452</v>
      </c>
      <c r="D24" s="4" t="s">
        <v>52</v>
      </c>
      <c r="E24" s="4" t="s">
        <v>44</v>
      </c>
      <c r="F24" s="7">
        <v>2786</v>
      </c>
      <c r="G24" s="7">
        <v>368</v>
      </c>
      <c r="H24" s="7">
        <v>208</v>
      </c>
      <c r="I24" s="7">
        <v>42000</v>
      </c>
      <c r="J24" s="7">
        <v>39967</v>
      </c>
      <c r="K24" s="7">
        <v>103</v>
      </c>
      <c r="L24" s="4" t="s">
        <v>19</v>
      </c>
      <c r="M24" s="4" t="s">
        <v>40</v>
      </c>
      <c r="N24" s="4" t="s">
        <v>53</v>
      </c>
      <c r="O24" s="13">
        <f t="shared" si="0"/>
        <v>8.0047619047619048E-2</v>
      </c>
    </row>
    <row r="25" spans="1:43">
      <c r="A25" s="4" t="s">
        <v>58</v>
      </c>
      <c r="B25" s="4" t="s">
        <v>22</v>
      </c>
      <c r="C25" s="111">
        <v>45583</v>
      </c>
      <c r="D25" s="4" t="s">
        <v>14</v>
      </c>
      <c r="E25" s="4" t="s">
        <v>24</v>
      </c>
      <c r="F25" s="7">
        <v>2607</v>
      </c>
      <c r="G25" s="7">
        <v>379</v>
      </c>
      <c r="H25" s="7">
        <v>180</v>
      </c>
      <c r="I25" s="7">
        <v>28712</v>
      </c>
      <c r="J25" s="7">
        <v>61620</v>
      </c>
      <c r="K25" s="7">
        <v>174</v>
      </c>
      <c r="L25" s="4" t="s">
        <v>40</v>
      </c>
      <c r="M25" s="4"/>
      <c r="N25" s="4" t="s">
        <v>20</v>
      </c>
      <c r="O25" s="13">
        <f t="shared" si="0"/>
        <v>0.11026748397882419</v>
      </c>
    </row>
    <row r="26" spans="1:43">
      <c r="A26" s="4" t="s">
        <v>59</v>
      </c>
      <c r="B26" s="4" t="s">
        <v>28</v>
      </c>
      <c r="C26" s="111">
        <v>45575</v>
      </c>
      <c r="D26" s="4" t="s">
        <v>52</v>
      </c>
      <c r="E26" s="4" t="s">
        <v>44</v>
      </c>
      <c r="F26" s="7">
        <v>4013</v>
      </c>
      <c r="G26" s="7">
        <v>320</v>
      </c>
      <c r="H26" s="7">
        <v>92</v>
      </c>
      <c r="I26" s="7">
        <v>54605</v>
      </c>
      <c r="J26" s="7">
        <v>60169</v>
      </c>
      <c r="K26" s="7">
        <v>232</v>
      </c>
      <c r="L26" s="4" t="s">
        <v>19</v>
      </c>
      <c r="M26" s="4" t="s">
        <v>40</v>
      </c>
      <c r="N26" s="4" t="s">
        <v>53</v>
      </c>
      <c r="O26" s="13">
        <f t="shared" si="0"/>
        <v>8.1036535115831879E-2</v>
      </c>
    </row>
    <row r="27" spans="1:43">
      <c r="A27" s="4" t="s">
        <v>60</v>
      </c>
      <c r="B27" s="4" t="s">
        <v>22</v>
      </c>
      <c r="C27" s="111">
        <v>45791</v>
      </c>
      <c r="D27" s="4" t="s">
        <v>23</v>
      </c>
      <c r="E27" s="4" t="s">
        <v>44</v>
      </c>
      <c r="F27" s="7">
        <v>2707</v>
      </c>
      <c r="G27" s="7">
        <v>103</v>
      </c>
      <c r="H27" s="7">
        <v>51</v>
      </c>
      <c r="I27" s="7">
        <v>55302</v>
      </c>
      <c r="J27" s="7">
        <v>18801</v>
      </c>
      <c r="K27" s="7">
        <v>147</v>
      </c>
      <c r="L27" s="4" t="s">
        <v>19</v>
      </c>
      <c r="M27" s="4" t="s">
        <v>363</v>
      </c>
      <c r="N27" s="4" t="s">
        <v>16</v>
      </c>
      <c r="O27" s="13">
        <f t="shared" si="0"/>
        <v>5.173411449857148E-2</v>
      </c>
    </row>
    <row r="28" spans="1:43">
      <c r="A28" s="4" t="s">
        <v>61</v>
      </c>
      <c r="B28" s="4" t="s">
        <v>13</v>
      </c>
      <c r="C28" s="111">
        <v>45625</v>
      </c>
      <c r="D28" s="4" t="s">
        <v>14</v>
      </c>
      <c r="E28" s="4" t="s">
        <v>31</v>
      </c>
      <c r="F28" s="7">
        <v>2824</v>
      </c>
      <c r="G28" s="7">
        <v>425</v>
      </c>
      <c r="H28" s="7">
        <v>274</v>
      </c>
      <c r="I28" s="7">
        <v>31004</v>
      </c>
      <c r="J28" s="7">
        <v>53488</v>
      </c>
      <c r="K28" s="7">
        <v>268</v>
      </c>
      <c r="L28" s="4" t="s">
        <v>40</v>
      </c>
      <c r="M28" s="4" t="s">
        <v>37</v>
      </c>
      <c r="N28" s="4" t="s">
        <v>16</v>
      </c>
      <c r="O28" s="13">
        <f t="shared" si="0"/>
        <v>0.11363049929041415</v>
      </c>
    </row>
    <row r="29" spans="1:43">
      <c r="A29" s="4" t="s">
        <v>62</v>
      </c>
      <c r="B29" s="4" t="s">
        <v>28</v>
      </c>
      <c r="C29" s="111">
        <v>45356</v>
      </c>
      <c r="D29" s="4" t="s">
        <v>52</v>
      </c>
      <c r="E29" s="4" t="s">
        <v>18</v>
      </c>
      <c r="F29" s="7">
        <v>3558</v>
      </c>
      <c r="G29" s="7">
        <v>314</v>
      </c>
      <c r="H29" s="7">
        <v>199</v>
      </c>
      <c r="I29" s="7">
        <v>49612</v>
      </c>
      <c r="J29" s="7">
        <v>53929</v>
      </c>
      <c r="K29" s="7">
        <v>206</v>
      </c>
      <c r="L29" s="4" t="s">
        <v>19</v>
      </c>
      <c r="M29" s="4" t="s">
        <v>40</v>
      </c>
      <c r="N29" s="4" t="s">
        <v>53</v>
      </c>
      <c r="O29" s="13">
        <f t="shared" si="0"/>
        <v>8.205676046117874E-2</v>
      </c>
    </row>
    <row r="30" spans="1:43">
      <c r="A30" s="4" t="s">
        <v>63</v>
      </c>
      <c r="B30" s="4" t="s">
        <v>22</v>
      </c>
      <c r="C30" s="111">
        <v>45734</v>
      </c>
      <c r="D30" s="4" t="s">
        <v>23</v>
      </c>
      <c r="E30" s="4" t="s">
        <v>18</v>
      </c>
      <c r="F30" s="7">
        <v>3418</v>
      </c>
      <c r="G30" s="7">
        <v>188</v>
      </c>
      <c r="H30" s="7">
        <v>387</v>
      </c>
      <c r="I30" s="7">
        <v>57431</v>
      </c>
      <c r="J30" s="7">
        <v>36933</v>
      </c>
      <c r="K30" s="7">
        <v>202</v>
      </c>
      <c r="L30" s="4" t="s">
        <v>363</v>
      </c>
      <c r="M30" s="4" t="s">
        <v>37</v>
      </c>
      <c r="N30" s="4" t="s">
        <v>16</v>
      </c>
      <c r="O30" s="13">
        <f t="shared" si="0"/>
        <v>6.9526910553533799E-2</v>
      </c>
    </row>
    <row r="31" spans="1:43">
      <c r="A31" s="4" t="s">
        <v>64</v>
      </c>
      <c r="B31" s="4" t="s">
        <v>22</v>
      </c>
      <c r="C31" s="111">
        <v>45773</v>
      </c>
      <c r="D31" s="4" t="s">
        <v>14</v>
      </c>
      <c r="E31" s="4" t="s">
        <v>15</v>
      </c>
      <c r="F31" s="7">
        <v>2411</v>
      </c>
      <c r="G31" s="7">
        <v>194</v>
      </c>
      <c r="H31" s="7">
        <v>168</v>
      </c>
      <c r="I31" s="7">
        <v>26665</v>
      </c>
      <c r="J31" s="7">
        <v>71699</v>
      </c>
      <c r="K31" s="7">
        <v>197</v>
      </c>
      <c r="L31" s="4" t="s">
        <v>37</v>
      </c>
      <c r="M31" s="4"/>
      <c r="N31" s="4" t="s">
        <v>16</v>
      </c>
      <c r="O31" s="13">
        <f t="shared" si="0"/>
        <v>0.10399399962497656</v>
      </c>
    </row>
    <row r="32" spans="1:43">
      <c r="A32" s="4" t="s">
        <v>65</v>
      </c>
      <c r="B32" s="4" t="s">
        <v>13</v>
      </c>
      <c r="C32" s="111">
        <v>45658</v>
      </c>
      <c r="D32" s="4" t="s">
        <v>14</v>
      </c>
      <c r="E32" s="4" t="s">
        <v>24</v>
      </c>
      <c r="F32" s="7">
        <v>4036</v>
      </c>
      <c r="G32" s="7">
        <v>112</v>
      </c>
      <c r="H32" s="7">
        <v>382</v>
      </c>
      <c r="I32" s="7">
        <v>56284</v>
      </c>
      <c r="J32" s="7">
        <v>29440</v>
      </c>
      <c r="K32" s="7">
        <v>279</v>
      </c>
      <c r="L32" s="4" t="s">
        <v>40</v>
      </c>
      <c r="M32" s="4" t="s">
        <v>37</v>
      </c>
      <c r="N32" s="4" t="s">
        <v>16</v>
      </c>
      <c r="O32" s="13">
        <f t="shared" si="0"/>
        <v>8.0484684812735408E-2</v>
      </c>
    </row>
    <row r="33" spans="1:15">
      <c r="A33" s="4" t="s">
        <v>66</v>
      </c>
      <c r="B33" s="4" t="s">
        <v>22</v>
      </c>
      <c r="C33" s="111">
        <v>45419</v>
      </c>
      <c r="D33" s="4" t="s">
        <v>23</v>
      </c>
      <c r="E33" s="4" t="s">
        <v>18</v>
      </c>
      <c r="F33" s="7">
        <v>2776</v>
      </c>
      <c r="G33" s="7">
        <v>307</v>
      </c>
      <c r="H33" s="7">
        <v>178</v>
      </c>
      <c r="I33" s="7">
        <v>43365</v>
      </c>
      <c r="J33" s="7">
        <v>48408</v>
      </c>
      <c r="K33" s="7">
        <v>138</v>
      </c>
      <c r="L33" s="4" t="s">
        <v>40</v>
      </c>
      <c r="M33" s="4" t="s">
        <v>37</v>
      </c>
      <c r="N33" s="4" t="s">
        <v>16</v>
      </c>
      <c r="O33" s="13">
        <f t="shared" si="0"/>
        <v>7.519889311656866E-2</v>
      </c>
    </row>
    <row r="34" spans="1:15">
      <c r="A34" s="4" t="s">
        <v>67</v>
      </c>
      <c r="B34" s="4" t="s">
        <v>22</v>
      </c>
      <c r="C34" s="111">
        <v>45574</v>
      </c>
      <c r="D34" s="4" t="s">
        <v>23</v>
      </c>
      <c r="E34" s="4" t="s">
        <v>15</v>
      </c>
      <c r="F34" s="7">
        <v>4929</v>
      </c>
      <c r="G34" s="7">
        <v>182</v>
      </c>
      <c r="H34" s="7">
        <v>95</v>
      </c>
      <c r="I34" s="7">
        <v>32181</v>
      </c>
      <c r="J34" s="7">
        <v>31084</v>
      </c>
      <c r="K34" s="7">
        <v>289</v>
      </c>
      <c r="L34" s="4" t="s">
        <v>19</v>
      </c>
      <c r="M34" s="4" t="s">
        <v>363</v>
      </c>
      <c r="N34" s="4" t="s">
        <v>16</v>
      </c>
      <c r="O34" s="13">
        <f t="shared" si="0"/>
        <v>0.16177247444144061</v>
      </c>
    </row>
    <row r="35" spans="1:15">
      <c r="A35" s="4" t="s">
        <v>68</v>
      </c>
      <c r="B35" s="4" t="s">
        <v>13</v>
      </c>
      <c r="C35" s="111">
        <v>45666</v>
      </c>
      <c r="D35" s="4" t="s">
        <v>14</v>
      </c>
      <c r="E35" s="4" t="s">
        <v>24</v>
      </c>
      <c r="F35" s="7">
        <v>1015</v>
      </c>
      <c r="G35" s="7">
        <v>366</v>
      </c>
      <c r="H35" s="7">
        <v>308</v>
      </c>
      <c r="I35" s="7">
        <v>38127</v>
      </c>
      <c r="J35" s="7">
        <v>63790</v>
      </c>
      <c r="K35" s="7">
        <v>287</v>
      </c>
      <c r="L35" s="4" t="s">
        <v>40</v>
      </c>
      <c r="M35" s="4" t="s">
        <v>37</v>
      </c>
      <c r="N35" s="4" t="s">
        <v>16</v>
      </c>
      <c r="O35" s="13">
        <f t="shared" si="0"/>
        <v>4.4299315445747112E-2</v>
      </c>
    </row>
    <row r="36" spans="1:15">
      <c r="A36" s="4" t="s">
        <v>69</v>
      </c>
      <c r="B36" s="4" t="s">
        <v>22</v>
      </c>
      <c r="C36" s="111">
        <v>45785</v>
      </c>
      <c r="D36" s="4" t="s">
        <v>23</v>
      </c>
      <c r="E36" s="4" t="s">
        <v>46</v>
      </c>
      <c r="F36" s="7">
        <v>3316</v>
      </c>
      <c r="G36" s="7">
        <v>332</v>
      </c>
      <c r="H36" s="7">
        <v>268</v>
      </c>
      <c r="I36" s="7">
        <v>40095</v>
      </c>
      <c r="J36" s="7">
        <v>36913</v>
      </c>
      <c r="K36" s="7">
        <v>265</v>
      </c>
      <c r="L36" s="4" t="s">
        <v>363</v>
      </c>
      <c r="M36" s="4" t="s">
        <v>37</v>
      </c>
      <c r="N36" s="4" t="s">
        <v>16</v>
      </c>
      <c r="O36" s="13">
        <f t="shared" si="0"/>
        <v>9.7668038408779148E-2</v>
      </c>
    </row>
    <row r="37" spans="1:15">
      <c r="A37" s="4" t="s">
        <v>70</v>
      </c>
      <c r="B37" s="4" t="s">
        <v>13</v>
      </c>
      <c r="C37" s="111">
        <v>45416</v>
      </c>
      <c r="D37" s="4" t="s">
        <v>14</v>
      </c>
      <c r="E37" s="4" t="s">
        <v>26</v>
      </c>
      <c r="F37" s="7">
        <v>2274</v>
      </c>
      <c r="G37" s="7">
        <v>243</v>
      </c>
      <c r="H37" s="7">
        <v>222</v>
      </c>
      <c r="I37" s="7">
        <v>43066</v>
      </c>
      <c r="J37" s="7">
        <v>59174</v>
      </c>
      <c r="K37" s="7">
        <v>80</v>
      </c>
      <c r="L37" s="4" t="s">
        <v>19</v>
      </c>
      <c r="M37" s="4"/>
      <c r="N37" s="4" t="s">
        <v>20</v>
      </c>
      <c r="O37" s="13">
        <f t="shared" si="0"/>
        <v>6.3600055728416843E-2</v>
      </c>
    </row>
    <row r="38" spans="1:15">
      <c r="A38" s="4" t="s">
        <v>71</v>
      </c>
      <c r="B38" s="4" t="s">
        <v>22</v>
      </c>
      <c r="C38" s="111">
        <v>45804</v>
      </c>
      <c r="D38" s="4" t="s">
        <v>23</v>
      </c>
      <c r="E38" s="4" t="s">
        <v>18</v>
      </c>
      <c r="F38" s="7">
        <v>4095</v>
      </c>
      <c r="G38" s="7">
        <v>385</v>
      </c>
      <c r="H38" s="7">
        <v>400</v>
      </c>
      <c r="I38" s="7">
        <v>45300</v>
      </c>
      <c r="J38" s="7">
        <v>31795</v>
      </c>
      <c r="K38" s="7">
        <v>80</v>
      </c>
      <c r="L38" s="4" t="s">
        <v>363</v>
      </c>
      <c r="M38" s="4" t="s">
        <v>37</v>
      </c>
      <c r="N38" s="4" t="s">
        <v>16</v>
      </c>
      <c r="O38" s="13">
        <f t="shared" si="0"/>
        <v>0.10772626931567329</v>
      </c>
    </row>
    <row r="39" spans="1:15">
      <c r="A39" s="4" t="s">
        <v>72</v>
      </c>
      <c r="B39" s="4" t="s">
        <v>13</v>
      </c>
      <c r="C39" s="111">
        <v>45545</v>
      </c>
      <c r="D39" s="4" t="s">
        <v>23</v>
      </c>
      <c r="E39" s="4" t="s">
        <v>24</v>
      </c>
      <c r="F39" s="7">
        <v>1230</v>
      </c>
      <c r="G39" s="7">
        <v>309</v>
      </c>
      <c r="H39" s="7">
        <v>207</v>
      </c>
      <c r="I39" s="7">
        <v>44629</v>
      </c>
      <c r="J39" s="7">
        <v>40699</v>
      </c>
      <c r="K39" s="7">
        <v>195</v>
      </c>
      <c r="L39" s="4" t="s">
        <v>37</v>
      </c>
      <c r="M39" s="4"/>
      <c r="N39" s="4" t="s">
        <v>50</v>
      </c>
      <c r="O39" s="13">
        <f t="shared" si="0"/>
        <v>3.9122543637545096E-2</v>
      </c>
    </row>
    <row r="40" spans="1:15">
      <c r="A40" s="4" t="s">
        <v>73</v>
      </c>
      <c r="B40" s="4" t="s">
        <v>13</v>
      </c>
      <c r="C40" s="111">
        <v>45621</v>
      </c>
      <c r="D40" s="4" t="s">
        <v>14</v>
      </c>
      <c r="E40" s="4" t="s">
        <v>44</v>
      </c>
      <c r="F40" s="7">
        <v>1341</v>
      </c>
      <c r="G40" s="7">
        <v>472</v>
      </c>
      <c r="H40" s="7">
        <v>238</v>
      </c>
      <c r="I40" s="7">
        <v>51386</v>
      </c>
      <c r="J40" s="7">
        <v>51706</v>
      </c>
      <c r="K40" s="7">
        <v>133</v>
      </c>
      <c r="L40" s="4" t="s">
        <v>19</v>
      </c>
      <c r="M40" s="4"/>
      <c r="N40" s="4" t="s">
        <v>20</v>
      </c>
      <c r="O40" s="13">
        <f t="shared" si="0"/>
        <v>3.9913595142645857E-2</v>
      </c>
    </row>
    <row r="41" spans="1:15">
      <c r="A41" s="4" t="s">
        <v>74</v>
      </c>
      <c r="B41" s="4" t="s">
        <v>22</v>
      </c>
      <c r="C41" s="111">
        <v>45818</v>
      </c>
      <c r="D41" s="4" t="s">
        <v>14</v>
      </c>
      <c r="E41" s="4" t="s">
        <v>18</v>
      </c>
      <c r="F41" s="7">
        <v>3615</v>
      </c>
      <c r="G41" s="7">
        <v>192</v>
      </c>
      <c r="H41" s="7">
        <v>162</v>
      </c>
      <c r="I41" s="7">
        <v>27492</v>
      </c>
      <c r="J41" s="7">
        <v>35341</v>
      </c>
      <c r="K41" s="7">
        <v>125</v>
      </c>
      <c r="L41" s="4" t="s">
        <v>37</v>
      </c>
      <c r="M41" s="4"/>
      <c r="N41" s="4" t="s">
        <v>16</v>
      </c>
      <c r="O41" s="13">
        <f t="shared" si="0"/>
        <v>0.14436927106067218</v>
      </c>
    </row>
    <row r="42" spans="1:15">
      <c r="A42" s="4" t="s">
        <v>75</v>
      </c>
      <c r="B42" s="4" t="s">
        <v>13</v>
      </c>
      <c r="C42" s="111">
        <v>45401</v>
      </c>
      <c r="D42" s="4" t="s">
        <v>14</v>
      </c>
      <c r="E42" s="4" t="s">
        <v>24</v>
      </c>
      <c r="F42" s="7">
        <v>4001</v>
      </c>
      <c r="G42" s="7">
        <v>353</v>
      </c>
      <c r="H42" s="7">
        <v>129</v>
      </c>
      <c r="I42" s="7">
        <v>41265</v>
      </c>
      <c r="J42" s="7">
        <v>37279</v>
      </c>
      <c r="K42" s="7">
        <v>275</v>
      </c>
      <c r="L42" s="4" t="s">
        <v>40</v>
      </c>
      <c r="M42" s="4" t="s">
        <v>37</v>
      </c>
      <c r="N42" s="4" t="s">
        <v>16</v>
      </c>
      <c r="O42" s="13">
        <f t="shared" si="0"/>
        <v>0.10863928268508422</v>
      </c>
    </row>
    <row r="43" spans="1:15">
      <c r="A43" s="4" t="s">
        <v>76</v>
      </c>
      <c r="B43" s="4" t="s">
        <v>13</v>
      </c>
      <c r="C43" s="111">
        <v>45683</v>
      </c>
      <c r="D43" s="4" t="s">
        <v>23</v>
      </c>
      <c r="E43" s="4" t="s">
        <v>31</v>
      </c>
      <c r="F43" s="7">
        <v>3451</v>
      </c>
      <c r="G43" s="7">
        <v>363</v>
      </c>
      <c r="H43" s="7">
        <v>393</v>
      </c>
      <c r="I43" s="7">
        <v>44853</v>
      </c>
      <c r="J43" s="7">
        <v>69032</v>
      </c>
      <c r="K43" s="7">
        <v>211</v>
      </c>
      <c r="L43" s="4" t="s">
        <v>37</v>
      </c>
      <c r="M43" s="4"/>
      <c r="N43" s="4" t="s">
        <v>50</v>
      </c>
      <c r="O43" s="13">
        <f t="shared" si="0"/>
        <v>9.379528682585335E-2</v>
      </c>
    </row>
    <row r="44" spans="1:15">
      <c r="A44" s="4" t="s">
        <v>77</v>
      </c>
      <c r="B44" s="4" t="s">
        <v>13</v>
      </c>
      <c r="C44" s="111">
        <v>45702</v>
      </c>
      <c r="D44" s="4" t="s">
        <v>14</v>
      </c>
      <c r="E44" s="4" t="s">
        <v>36</v>
      </c>
      <c r="F44" s="7">
        <v>4891</v>
      </c>
      <c r="G44" s="7">
        <v>450</v>
      </c>
      <c r="H44" s="7">
        <v>387</v>
      </c>
      <c r="I44" s="7">
        <v>48746</v>
      </c>
      <c r="J44" s="7">
        <v>37312</v>
      </c>
      <c r="K44" s="7">
        <v>154</v>
      </c>
      <c r="L44" s="4" t="s">
        <v>40</v>
      </c>
      <c r="M44" s="4" t="s">
        <v>37</v>
      </c>
      <c r="N44" s="4" t="s">
        <v>16</v>
      </c>
      <c r="O44" s="13">
        <f t="shared" si="0"/>
        <v>0.11750707750379519</v>
      </c>
    </row>
    <row r="45" spans="1:15">
      <c r="A45" s="4" t="s">
        <v>78</v>
      </c>
      <c r="B45" s="4" t="s">
        <v>13</v>
      </c>
      <c r="C45" s="111">
        <v>45541</v>
      </c>
      <c r="D45" s="4" t="s">
        <v>14</v>
      </c>
      <c r="E45" s="4" t="s">
        <v>24</v>
      </c>
      <c r="F45" s="7">
        <v>1452</v>
      </c>
      <c r="G45" s="7">
        <v>281</v>
      </c>
      <c r="H45" s="7">
        <v>326</v>
      </c>
      <c r="I45" s="7">
        <v>51556</v>
      </c>
      <c r="J45" s="7">
        <v>62599</v>
      </c>
      <c r="K45" s="7">
        <v>290</v>
      </c>
      <c r="L45" s="4" t="s">
        <v>19</v>
      </c>
      <c r="M45" s="4"/>
      <c r="N45" s="4" t="s">
        <v>20</v>
      </c>
      <c r="O45" s="13">
        <f t="shared" si="0"/>
        <v>3.9937155714174881E-2</v>
      </c>
    </row>
    <row r="46" spans="1:15">
      <c r="A46" s="4" t="s">
        <v>79</v>
      </c>
      <c r="B46" s="4" t="s">
        <v>28</v>
      </c>
      <c r="C46" s="111">
        <v>45487</v>
      </c>
      <c r="D46" s="4" t="s">
        <v>14</v>
      </c>
      <c r="E46" s="4" t="s">
        <v>46</v>
      </c>
      <c r="F46" s="7">
        <v>3806</v>
      </c>
      <c r="G46" s="7">
        <v>114</v>
      </c>
      <c r="H46" s="7">
        <v>278</v>
      </c>
      <c r="I46" s="7">
        <v>36148</v>
      </c>
      <c r="J46" s="7">
        <v>24209</v>
      </c>
      <c r="K46" s="7">
        <v>201</v>
      </c>
      <c r="L46" s="4" t="s">
        <v>19</v>
      </c>
      <c r="M46" s="4" t="s">
        <v>364</v>
      </c>
      <c r="N46" s="4" t="s">
        <v>20</v>
      </c>
      <c r="O46" s="13">
        <f t="shared" si="0"/>
        <v>0.11613367267898639</v>
      </c>
    </row>
    <row r="47" spans="1:15">
      <c r="A47" s="4" t="s">
        <v>80</v>
      </c>
      <c r="B47" s="4" t="s">
        <v>13</v>
      </c>
      <c r="C47" s="111">
        <v>45334</v>
      </c>
      <c r="D47" s="4" t="s">
        <v>14</v>
      </c>
      <c r="E47" s="4" t="s">
        <v>18</v>
      </c>
      <c r="F47" s="7">
        <v>2923</v>
      </c>
      <c r="G47" s="7">
        <v>330</v>
      </c>
      <c r="H47" s="7">
        <v>250</v>
      </c>
      <c r="I47" s="7">
        <v>23993</v>
      </c>
      <c r="J47" s="7">
        <v>74590</v>
      </c>
      <c r="K47" s="7">
        <v>92</v>
      </c>
      <c r="L47" s="4" t="s">
        <v>19</v>
      </c>
      <c r="M47" s="4"/>
      <c r="N47" s="4" t="s">
        <v>20</v>
      </c>
      <c r="O47" s="13">
        <f t="shared" si="0"/>
        <v>0.14600091693410577</v>
      </c>
    </row>
    <row r="48" spans="1:15">
      <c r="A48" s="4" t="s">
        <v>81</v>
      </c>
      <c r="B48" s="4" t="s">
        <v>28</v>
      </c>
      <c r="C48" s="111">
        <v>45365</v>
      </c>
      <c r="D48" s="4" t="s">
        <v>52</v>
      </c>
      <c r="E48" s="4" t="s">
        <v>44</v>
      </c>
      <c r="F48" s="7">
        <v>3361</v>
      </c>
      <c r="G48" s="7">
        <v>188</v>
      </c>
      <c r="H48" s="7">
        <v>358</v>
      </c>
      <c r="I48" s="7">
        <v>39838</v>
      </c>
      <c r="J48" s="7">
        <v>24536</v>
      </c>
      <c r="K48" s="7">
        <v>120</v>
      </c>
      <c r="L48" s="4" t="s">
        <v>19</v>
      </c>
      <c r="M48" s="4" t="s">
        <v>40</v>
      </c>
      <c r="N48" s="4" t="s">
        <v>53</v>
      </c>
      <c r="O48" s="13">
        <f t="shared" si="0"/>
        <v>9.8072192379135503E-2</v>
      </c>
    </row>
    <row r="49" spans="1:15">
      <c r="A49" s="4" t="s">
        <v>82</v>
      </c>
      <c r="B49" s="4" t="s">
        <v>13</v>
      </c>
      <c r="C49" s="111">
        <v>45693</v>
      </c>
      <c r="D49" s="4" t="s">
        <v>23</v>
      </c>
      <c r="E49" s="4" t="s">
        <v>29</v>
      </c>
      <c r="F49" s="7">
        <v>3074</v>
      </c>
      <c r="G49" s="7">
        <v>371</v>
      </c>
      <c r="H49" s="7">
        <v>348</v>
      </c>
      <c r="I49" s="7">
        <v>24104</v>
      </c>
      <c r="J49" s="7">
        <v>57803</v>
      </c>
      <c r="K49" s="7">
        <v>213</v>
      </c>
      <c r="L49" s="4" t="s">
        <v>37</v>
      </c>
      <c r="M49" s="4"/>
      <c r="N49" s="4" t="s">
        <v>50</v>
      </c>
      <c r="O49" s="13">
        <f t="shared" si="0"/>
        <v>0.15735977431131762</v>
      </c>
    </row>
    <row r="50" spans="1:15">
      <c r="A50" s="4" t="s">
        <v>83</v>
      </c>
      <c r="B50" s="4" t="s">
        <v>22</v>
      </c>
      <c r="C50" s="111">
        <v>45533</v>
      </c>
      <c r="D50" s="4" t="s">
        <v>23</v>
      </c>
      <c r="E50" s="4" t="s">
        <v>33</v>
      </c>
      <c r="F50" s="7">
        <v>4276</v>
      </c>
      <c r="G50" s="7">
        <v>227</v>
      </c>
      <c r="H50" s="7">
        <v>223</v>
      </c>
      <c r="I50" s="7">
        <v>43443</v>
      </c>
      <c r="J50" s="7">
        <v>41005</v>
      </c>
      <c r="K50" s="7">
        <v>191</v>
      </c>
      <c r="L50" s="4" t="s">
        <v>19</v>
      </c>
      <c r="M50" s="4" t="s">
        <v>363</v>
      </c>
      <c r="N50" s="4" t="s">
        <v>16</v>
      </c>
      <c r="O50" s="13">
        <f t="shared" si="0"/>
        <v>0.1087862256289851</v>
      </c>
    </row>
    <row r="51" spans="1:15">
      <c r="A51" s="4" t="s">
        <v>84</v>
      </c>
      <c r="B51" s="4" t="s">
        <v>22</v>
      </c>
      <c r="C51" s="111">
        <v>45769</v>
      </c>
      <c r="D51" s="4" t="s">
        <v>14</v>
      </c>
      <c r="E51" s="4" t="s">
        <v>15</v>
      </c>
      <c r="F51" s="7">
        <v>4401</v>
      </c>
      <c r="G51" s="7">
        <v>421</v>
      </c>
      <c r="H51" s="7">
        <v>216</v>
      </c>
      <c r="I51" s="7">
        <v>24890</v>
      </c>
      <c r="J51" s="7">
        <v>54361</v>
      </c>
      <c r="K51" s="7">
        <v>148</v>
      </c>
      <c r="L51" s="4" t="s">
        <v>37</v>
      </c>
      <c r="M51" s="4"/>
      <c r="N51" s="4" t="s">
        <v>16</v>
      </c>
      <c r="O51" s="13">
        <f t="shared" si="0"/>
        <v>0.20241060666934513</v>
      </c>
    </row>
    <row r="52" spans="1:15">
      <c r="A52" s="4" t="s">
        <v>85</v>
      </c>
      <c r="B52" s="4" t="s">
        <v>28</v>
      </c>
      <c r="C52" s="111">
        <v>45425</v>
      </c>
      <c r="D52" s="4" t="s">
        <v>52</v>
      </c>
      <c r="E52" s="4" t="s">
        <v>18</v>
      </c>
      <c r="F52" s="7">
        <v>4161</v>
      </c>
      <c r="G52" s="7">
        <v>481</v>
      </c>
      <c r="H52" s="7">
        <v>61</v>
      </c>
      <c r="I52" s="7">
        <v>45884</v>
      </c>
      <c r="J52" s="7">
        <v>48955</v>
      </c>
      <c r="K52" s="7">
        <v>215</v>
      </c>
      <c r="L52" s="4" t="s">
        <v>19</v>
      </c>
      <c r="M52" s="4" t="s">
        <v>40</v>
      </c>
      <c r="N52" s="4" t="s">
        <v>53</v>
      </c>
      <c r="O52" s="13">
        <f t="shared" si="0"/>
        <v>0.10249760265016128</v>
      </c>
    </row>
    <row r="53" spans="1:15">
      <c r="A53" s="4" t="s">
        <v>86</v>
      </c>
      <c r="B53" s="4" t="s">
        <v>22</v>
      </c>
      <c r="C53" s="111">
        <v>45539</v>
      </c>
      <c r="D53" s="4" t="s">
        <v>23</v>
      </c>
      <c r="E53" s="4" t="s">
        <v>24</v>
      </c>
      <c r="F53" s="7">
        <v>2613</v>
      </c>
      <c r="G53" s="7">
        <v>455</v>
      </c>
      <c r="H53" s="7">
        <v>228</v>
      </c>
      <c r="I53" s="7">
        <v>21645</v>
      </c>
      <c r="J53" s="7">
        <v>61334</v>
      </c>
      <c r="K53" s="7">
        <v>261</v>
      </c>
      <c r="L53" s="4" t="s">
        <v>19</v>
      </c>
      <c r="M53" s="4" t="s">
        <v>363</v>
      </c>
      <c r="N53" s="4" t="s">
        <v>16</v>
      </c>
      <c r="O53" s="13">
        <f t="shared" si="0"/>
        <v>0.15227535227535227</v>
      </c>
    </row>
    <row r="54" spans="1:15">
      <c r="A54" s="4" t="s">
        <v>87</v>
      </c>
      <c r="B54" s="4" t="s">
        <v>22</v>
      </c>
      <c r="C54" s="111">
        <v>45516</v>
      </c>
      <c r="D54" s="4" t="s">
        <v>23</v>
      </c>
      <c r="E54" s="4" t="s">
        <v>31</v>
      </c>
      <c r="F54" s="7">
        <v>2842</v>
      </c>
      <c r="G54" s="7">
        <v>213</v>
      </c>
      <c r="H54" s="7">
        <v>331</v>
      </c>
      <c r="I54" s="7">
        <v>57660</v>
      </c>
      <c r="J54" s="7">
        <v>68606</v>
      </c>
      <c r="K54" s="7">
        <v>87</v>
      </c>
      <c r="L54" s="4" t="s">
        <v>363</v>
      </c>
      <c r="M54" s="4" t="s">
        <v>37</v>
      </c>
      <c r="N54" s="4" t="s">
        <v>16</v>
      </c>
      <c r="O54" s="13">
        <f t="shared" si="0"/>
        <v>5.8723551855705859E-2</v>
      </c>
    </row>
    <row r="55" spans="1:15">
      <c r="A55" s="4" t="s">
        <v>88</v>
      </c>
      <c r="B55" s="4" t="s">
        <v>13</v>
      </c>
      <c r="C55" s="111">
        <v>45722</v>
      </c>
      <c r="D55" s="4" t="s">
        <v>14</v>
      </c>
      <c r="E55" s="4" t="s">
        <v>33</v>
      </c>
      <c r="F55" s="7">
        <v>4851</v>
      </c>
      <c r="G55" s="7">
        <v>460</v>
      </c>
      <c r="H55" s="7">
        <v>212</v>
      </c>
      <c r="I55" s="7">
        <v>58075</v>
      </c>
      <c r="J55" s="7">
        <v>59574</v>
      </c>
      <c r="K55" s="7">
        <v>239</v>
      </c>
      <c r="L55" s="4" t="s">
        <v>19</v>
      </c>
      <c r="M55" s="4"/>
      <c r="N55" s="4" t="s">
        <v>20</v>
      </c>
      <c r="O55" s="13">
        <f t="shared" si="0"/>
        <v>9.5101162290142052E-2</v>
      </c>
    </row>
    <row r="56" spans="1:15">
      <c r="A56" s="4" t="s">
        <v>89</v>
      </c>
      <c r="B56" s="4" t="s">
        <v>22</v>
      </c>
      <c r="C56" s="111">
        <v>45420</v>
      </c>
      <c r="D56" s="4" t="s">
        <v>14</v>
      </c>
      <c r="E56" s="4" t="s">
        <v>18</v>
      </c>
      <c r="F56" s="7">
        <v>1828</v>
      </c>
      <c r="G56" s="7">
        <v>450</v>
      </c>
      <c r="H56" s="7">
        <v>214</v>
      </c>
      <c r="I56" s="7">
        <v>52115</v>
      </c>
      <c r="J56" s="7">
        <v>19166</v>
      </c>
      <c r="K56" s="7">
        <v>190</v>
      </c>
      <c r="L56" s="4" t="s">
        <v>37</v>
      </c>
      <c r="M56" s="4"/>
      <c r="N56" s="4" t="s">
        <v>16</v>
      </c>
      <c r="O56" s="13">
        <f t="shared" si="0"/>
        <v>4.781732706514439E-2</v>
      </c>
    </row>
    <row r="57" spans="1:15">
      <c r="A57" s="4" t="s">
        <v>90</v>
      </c>
      <c r="B57" s="4" t="s">
        <v>13</v>
      </c>
      <c r="C57" s="111">
        <v>45707</v>
      </c>
      <c r="D57" s="4" t="s">
        <v>23</v>
      </c>
      <c r="E57" s="4" t="s">
        <v>44</v>
      </c>
      <c r="F57" s="7">
        <v>2422</v>
      </c>
      <c r="G57" s="7">
        <v>455</v>
      </c>
      <c r="H57" s="7">
        <v>376</v>
      </c>
      <c r="I57" s="7">
        <v>23428</v>
      </c>
      <c r="J57" s="7">
        <v>46775</v>
      </c>
      <c r="K57" s="7">
        <v>259</v>
      </c>
      <c r="L57" s="4" t="s">
        <v>37</v>
      </c>
      <c r="M57" s="4"/>
      <c r="N57" s="4" t="s">
        <v>50</v>
      </c>
      <c r="O57" s="13">
        <f t="shared" si="0"/>
        <v>0.13885094758408742</v>
      </c>
    </row>
    <row r="58" spans="1:15">
      <c r="A58" s="4" t="s">
        <v>91</v>
      </c>
      <c r="B58" s="4" t="s">
        <v>13</v>
      </c>
      <c r="C58" s="111">
        <v>45299</v>
      </c>
      <c r="D58" s="4" t="s">
        <v>14</v>
      </c>
      <c r="E58" s="4" t="s">
        <v>36</v>
      </c>
      <c r="F58" s="7">
        <v>2683</v>
      </c>
      <c r="G58" s="7">
        <v>405</v>
      </c>
      <c r="H58" s="7">
        <v>223</v>
      </c>
      <c r="I58" s="7">
        <v>31233</v>
      </c>
      <c r="J58" s="7">
        <v>58106</v>
      </c>
      <c r="K58" s="7">
        <v>291</v>
      </c>
      <c r="L58" s="4" t="s">
        <v>19</v>
      </c>
      <c r="M58" s="4"/>
      <c r="N58" s="4" t="s">
        <v>20</v>
      </c>
      <c r="O58" s="13">
        <f t="shared" si="0"/>
        <v>0.10600966926007749</v>
      </c>
    </row>
    <row r="59" spans="1:15">
      <c r="A59" s="4" t="s">
        <v>92</v>
      </c>
      <c r="B59" s="4" t="s">
        <v>28</v>
      </c>
      <c r="C59" s="111">
        <v>45490</v>
      </c>
      <c r="D59" s="4" t="s">
        <v>14</v>
      </c>
      <c r="E59" s="4" t="s">
        <v>36</v>
      </c>
      <c r="F59" s="7">
        <v>3135</v>
      </c>
      <c r="G59" s="7">
        <v>110</v>
      </c>
      <c r="H59" s="7">
        <v>215</v>
      </c>
      <c r="I59" s="7">
        <v>39192</v>
      </c>
      <c r="J59" s="7">
        <v>24744</v>
      </c>
      <c r="K59" s="7">
        <v>177</v>
      </c>
      <c r="L59" s="4" t="s">
        <v>19</v>
      </c>
      <c r="M59" s="4" t="s">
        <v>364</v>
      </c>
      <c r="N59" s="4" t="s">
        <v>20</v>
      </c>
      <c r="O59" s="13">
        <f t="shared" si="0"/>
        <v>8.8283323127168814E-2</v>
      </c>
    </row>
    <row r="60" spans="1:15">
      <c r="A60" s="4" t="s">
        <v>93</v>
      </c>
      <c r="B60" s="4" t="s">
        <v>28</v>
      </c>
      <c r="C60" s="111">
        <v>45514</v>
      </c>
      <c r="D60" s="4" t="s">
        <v>14</v>
      </c>
      <c r="E60" s="4" t="s">
        <v>44</v>
      </c>
      <c r="F60" s="7">
        <v>1105</v>
      </c>
      <c r="G60" s="7">
        <v>181</v>
      </c>
      <c r="H60" s="7">
        <v>55</v>
      </c>
      <c r="I60" s="7">
        <v>53581</v>
      </c>
      <c r="J60" s="7">
        <v>74048</v>
      </c>
      <c r="K60" s="7">
        <v>220</v>
      </c>
      <c r="L60" s="4" t="s">
        <v>19</v>
      </c>
      <c r="M60" s="4" t="s">
        <v>364</v>
      </c>
      <c r="N60" s="4" t="s">
        <v>20</v>
      </c>
      <c r="O60" s="13">
        <f t="shared" si="0"/>
        <v>2.50275284149232E-2</v>
      </c>
    </row>
    <row r="61" spans="1:15">
      <c r="A61" s="4" t="s">
        <v>94</v>
      </c>
      <c r="B61" s="4" t="s">
        <v>28</v>
      </c>
      <c r="C61" s="111">
        <v>45398</v>
      </c>
      <c r="D61" s="4" t="s">
        <v>14</v>
      </c>
      <c r="E61" s="4" t="s">
        <v>15</v>
      </c>
      <c r="F61" s="7">
        <v>4674</v>
      </c>
      <c r="G61" s="7">
        <v>326</v>
      </c>
      <c r="H61" s="7">
        <v>62</v>
      </c>
      <c r="I61" s="7">
        <v>45503</v>
      </c>
      <c r="J61" s="7">
        <v>46814</v>
      </c>
      <c r="K61" s="7">
        <v>116</v>
      </c>
      <c r="L61" s="4" t="s">
        <v>19</v>
      </c>
      <c r="M61" s="4" t="s">
        <v>364</v>
      </c>
      <c r="N61" s="4" t="s">
        <v>20</v>
      </c>
      <c r="O61" s="13">
        <f t="shared" si="0"/>
        <v>0.11124541239039185</v>
      </c>
    </row>
    <row r="62" spans="1:15">
      <c r="A62" s="4" t="s">
        <v>95</v>
      </c>
      <c r="B62" s="4" t="s">
        <v>28</v>
      </c>
      <c r="C62" s="111">
        <v>45292</v>
      </c>
      <c r="D62" s="4" t="s">
        <v>52</v>
      </c>
      <c r="E62" s="4" t="s">
        <v>18</v>
      </c>
      <c r="F62" s="7">
        <v>3437</v>
      </c>
      <c r="G62" s="7">
        <v>129</v>
      </c>
      <c r="H62" s="7">
        <v>359</v>
      </c>
      <c r="I62" s="7">
        <v>44558</v>
      </c>
      <c r="J62" s="7">
        <v>30854</v>
      </c>
      <c r="K62" s="7">
        <v>171</v>
      </c>
      <c r="L62" s="4" t="s">
        <v>19</v>
      </c>
      <c r="M62" s="4" t="s">
        <v>40</v>
      </c>
      <c r="N62" s="4" t="s">
        <v>53</v>
      </c>
      <c r="O62" s="13">
        <f t="shared" si="0"/>
        <v>8.8087436599488311E-2</v>
      </c>
    </row>
    <row r="63" spans="1:15">
      <c r="A63" s="4" t="s">
        <v>96</v>
      </c>
      <c r="B63" s="4" t="s">
        <v>22</v>
      </c>
      <c r="C63" s="111">
        <v>45599</v>
      </c>
      <c r="D63" s="4" t="s">
        <v>23</v>
      </c>
      <c r="E63" s="4" t="s">
        <v>26</v>
      </c>
      <c r="F63" s="7">
        <v>1959</v>
      </c>
      <c r="G63" s="7">
        <v>316</v>
      </c>
      <c r="H63" s="7">
        <v>82</v>
      </c>
      <c r="I63" s="7">
        <v>54036</v>
      </c>
      <c r="J63" s="7">
        <v>69015</v>
      </c>
      <c r="K63" s="7">
        <v>182</v>
      </c>
      <c r="L63" s="4" t="s">
        <v>363</v>
      </c>
      <c r="M63" s="4" t="s">
        <v>37</v>
      </c>
      <c r="N63" s="4" t="s">
        <v>16</v>
      </c>
      <c r="O63" s="13">
        <f t="shared" si="0"/>
        <v>4.3619068768968837E-2</v>
      </c>
    </row>
    <row r="64" spans="1:15">
      <c r="A64" s="4" t="s">
        <v>97</v>
      </c>
      <c r="B64" s="4" t="s">
        <v>22</v>
      </c>
      <c r="C64" s="111">
        <v>45480</v>
      </c>
      <c r="D64" s="4" t="s">
        <v>14</v>
      </c>
      <c r="E64" s="4" t="s">
        <v>24</v>
      </c>
      <c r="F64" s="7">
        <v>1035</v>
      </c>
      <c r="G64" s="7">
        <v>137</v>
      </c>
      <c r="H64" s="7">
        <v>184</v>
      </c>
      <c r="I64" s="7">
        <v>37302</v>
      </c>
      <c r="J64" s="7">
        <v>68953</v>
      </c>
      <c r="K64" s="7">
        <v>237</v>
      </c>
      <c r="L64" s="4" t="s">
        <v>40</v>
      </c>
      <c r="M64" s="4"/>
      <c r="N64" s="4" t="s">
        <v>20</v>
      </c>
      <c r="O64" s="13">
        <f t="shared" si="0"/>
        <v>3.6351938233874857E-2</v>
      </c>
    </row>
    <row r="65" spans="1:15">
      <c r="A65" s="4" t="s">
        <v>98</v>
      </c>
      <c r="B65" s="4" t="s">
        <v>22</v>
      </c>
      <c r="C65" s="111">
        <v>45679</v>
      </c>
      <c r="D65" s="4" t="s">
        <v>23</v>
      </c>
      <c r="E65" s="4" t="s">
        <v>24</v>
      </c>
      <c r="F65" s="7">
        <v>4478</v>
      </c>
      <c r="G65" s="7">
        <v>101</v>
      </c>
      <c r="H65" s="7">
        <v>121</v>
      </c>
      <c r="I65" s="7">
        <v>51035</v>
      </c>
      <c r="J65" s="7">
        <v>58207</v>
      </c>
      <c r="K65" s="7">
        <v>205</v>
      </c>
      <c r="L65" s="4" t="s">
        <v>363</v>
      </c>
      <c r="M65" s="4" t="s">
        <v>37</v>
      </c>
      <c r="N65" s="4" t="s">
        <v>16</v>
      </c>
      <c r="O65" s="13">
        <f t="shared" si="0"/>
        <v>9.2093661212893113E-2</v>
      </c>
    </row>
    <row r="66" spans="1:15">
      <c r="A66" s="4" t="s">
        <v>99</v>
      </c>
      <c r="B66" s="4" t="s">
        <v>28</v>
      </c>
      <c r="C66" s="111">
        <v>45438</v>
      </c>
      <c r="D66" s="4" t="s">
        <v>14</v>
      </c>
      <c r="E66" s="4" t="s">
        <v>44</v>
      </c>
      <c r="F66" s="7">
        <v>1488</v>
      </c>
      <c r="G66" s="7">
        <v>327</v>
      </c>
      <c r="H66" s="7">
        <v>110</v>
      </c>
      <c r="I66" s="7">
        <v>53805</v>
      </c>
      <c r="J66" s="7">
        <v>30239</v>
      </c>
      <c r="K66" s="7">
        <v>109</v>
      </c>
      <c r="L66" s="4" t="s">
        <v>19</v>
      </c>
      <c r="M66" s="4" t="s">
        <v>364</v>
      </c>
      <c r="N66" s="4" t="s">
        <v>20</v>
      </c>
      <c r="O66" s="13">
        <f t="shared" ref="O66:O129" si="1">(F66+H66+G66)/I66</f>
        <v>3.5777344113000653E-2</v>
      </c>
    </row>
    <row r="67" spans="1:15">
      <c r="A67" s="4" t="s">
        <v>100</v>
      </c>
      <c r="B67" s="4" t="s">
        <v>13</v>
      </c>
      <c r="C67" s="111">
        <v>45763</v>
      </c>
      <c r="D67" s="4" t="s">
        <v>14</v>
      </c>
      <c r="E67" s="4" t="s">
        <v>26</v>
      </c>
      <c r="F67" s="7">
        <v>4836</v>
      </c>
      <c r="G67" s="7">
        <v>331</v>
      </c>
      <c r="H67" s="7">
        <v>140</v>
      </c>
      <c r="I67" s="7">
        <v>58792</v>
      </c>
      <c r="J67" s="7">
        <v>47711</v>
      </c>
      <c r="K67" s="7">
        <v>227</v>
      </c>
      <c r="L67" s="4" t="s">
        <v>40</v>
      </c>
      <c r="M67" s="4" t="s">
        <v>37</v>
      </c>
      <c r="N67" s="4" t="s">
        <v>16</v>
      </c>
      <c r="O67" s="13">
        <f t="shared" si="1"/>
        <v>9.0267383317458164E-2</v>
      </c>
    </row>
    <row r="68" spans="1:15">
      <c r="A68" s="4" t="s">
        <v>101</v>
      </c>
      <c r="B68" s="4" t="s">
        <v>28</v>
      </c>
      <c r="C68" s="111">
        <v>45384</v>
      </c>
      <c r="D68" s="4" t="s">
        <v>52</v>
      </c>
      <c r="E68" s="4" t="s">
        <v>46</v>
      </c>
      <c r="F68" s="7">
        <v>4563</v>
      </c>
      <c r="G68" s="7">
        <v>488</v>
      </c>
      <c r="H68" s="7">
        <v>356</v>
      </c>
      <c r="I68" s="7">
        <v>30619</v>
      </c>
      <c r="J68" s="7">
        <v>23328</v>
      </c>
      <c r="K68" s="7">
        <v>267</v>
      </c>
      <c r="L68" s="4" t="s">
        <v>19</v>
      </c>
      <c r="M68" s="4" t="s">
        <v>40</v>
      </c>
      <c r="N68" s="4" t="s">
        <v>53</v>
      </c>
      <c r="O68" s="13">
        <f t="shared" si="1"/>
        <v>0.17658969920637513</v>
      </c>
    </row>
    <row r="69" spans="1:15">
      <c r="A69" s="4" t="s">
        <v>102</v>
      </c>
      <c r="B69" s="4" t="s">
        <v>22</v>
      </c>
      <c r="C69" s="111">
        <v>45379</v>
      </c>
      <c r="D69" s="4" t="s">
        <v>14</v>
      </c>
      <c r="E69" s="4" t="s">
        <v>29</v>
      </c>
      <c r="F69" s="7">
        <v>3276</v>
      </c>
      <c r="G69" s="7">
        <v>421</v>
      </c>
      <c r="H69" s="7">
        <v>114</v>
      </c>
      <c r="I69" s="7">
        <v>20580</v>
      </c>
      <c r="J69" s="7">
        <v>30324</v>
      </c>
      <c r="K69" s="7">
        <v>221</v>
      </c>
      <c r="L69" s="4" t="s">
        <v>40</v>
      </c>
      <c r="M69" s="4"/>
      <c r="N69" s="4" t="s">
        <v>20</v>
      </c>
      <c r="O69" s="13">
        <f t="shared" si="1"/>
        <v>0.18517978620019437</v>
      </c>
    </row>
    <row r="70" spans="1:15">
      <c r="A70" s="4" t="s">
        <v>103</v>
      </c>
      <c r="B70" s="4" t="s">
        <v>22</v>
      </c>
      <c r="C70" s="111">
        <v>45643</v>
      </c>
      <c r="D70" s="4" t="s">
        <v>23</v>
      </c>
      <c r="E70" s="4" t="s">
        <v>29</v>
      </c>
      <c r="F70" s="7">
        <v>1316</v>
      </c>
      <c r="G70" s="7">
        <v>472</v>
      </c>
      <c r="H70" s="7">
        <v>286</v>
      </c>
      <c r="I70" s="7">
        <v>44692</v>
      </c>
      <c r="J70" s="7">
        <v>53343</v>
      </c>
      <c r="K70" s="7">
        <v>227</v>
      </c>
      <c r="L70" s="4" t="s">
        <v>19</v>
      </c>
      <c r="M70" s="4" t="s">
        <v>363</v>
      </c>
      <c r="N70" s="4" t="s">
        <v>16</v>
      </c>
      <c r="O70" s="13">
        <f t="shared" si="1"/>
        <v>4.6406515707509172E-2</v>
      </c>
    </row>
    <row r="71" spans="1:15">
      <c r="A71" s="4" t="s">
        <v>104</v>
      </c>
      <c r="B71" s="4" t="s">
        <v>22</v>
      </c>
      <c r="C71" s="111">
        <v>45662</v>
      </c>
      <c r="D71" s="4" t="s">
        <v>14</v>
      </c>
      <c r="E71" s="4" t="s">
        <v>26</v>
      </c>
      <c r="F71" s="7">
        <v>4811</v>
      </c>
      <c r="G71" s="7">
        <v>473</v>
      </c>
      <c r="H71" s="7">
        <v>254</v>
      </c>
      <c r="I71" s="7">
        <v>51964</v>
      </c>
      <c r="J71" s="7">
        <v>68795</v>
      </c>
      <c r="K71" s="7">
        <v>107</v>
      </c>
      <c r="L71" s="4" t="s">
        <v>37</v>
      </c>
      <c r="M71" s="4"/>
      <c r="N71" s="4" t="s">
        <v>16</v>
      </c>
      <c r="O71" s="13">
        <f t="shared" si="1"/>
        <v>0.10657378184897237</v>
      </c>
    </row>
    <row r="72" spans="1:15">
      <c r="A72" s="4" t="s">
        <v>105</v>
      </c>
      <c r="B72" s="4" t="s">
        <v>22</v>
      </c>
      <c r="C72" s="111">
        <v>45302</v>
      </c>
      <c r="D72" s="4" t="s">
        <v>14</v>
      </c>
      <c r="E72" s="4" t="s">
        <v>31</v>
      </c>
      <c r="F72" s="7">
        <v>4218</v>
      </c>
      <c r="G72" s="7">
        <v>247</v>
      </c>
      <c r="H72" s="7">
        <v>183</v>
      </c>
      <c r="I72" s="7">
        <v>28914</v>
      </c>
      <c r="J72" s="7">
        <v>18310</v>
      </c>
      <c r="K72" s="7">
        <v>135</v>
      </c>
      <c r="L72" s="4" t="s">
        <v>40</v>
      </c>
      <c r="M72" s="4"/>
      <c r="N72" s="4" t="s">
        <v>20</v>
      </c>
      <c r="O72" s="13">
        <f t="shared" si="1"/>
        <v>0.1607525766064882</v>
      </c>
    </row>
    <row r="73" spans="1:15">
      <c r="A73" s="4" t="s">
        <v>106</v>
      </c>
      <c r="B73" s="4" t="s">
        <v>13</v>
      </c>
      <c r="C73" s="111">
        <v>45576</v>
      </c>
      <c r="D73" s="4" t="s">
        <v>14</v>
      </c>
      <c r="E73" s="4" t="s">
        <v>44</v>
      </c>
      <c r="F73" s="7">
        <v>1360</v>
      </c>
      <c r="G73" s="7">
        <v>249</v>
      </c>
      <c r="H73" s="7">
        <v>52</v>
      </c>
      <c r="I73" s="7">
        <v>20368</v>
      </c>
      <c r="J73" s="7">
        <v>42152</v>
      </c>
      <c r="K73" s="7">
        <v>193</v>
      </c>
      <c r="L73" s="4" t="s">
        <v>19</v>
      </c>
      <c r="M73" s="4"/>
      <c r="N73" s="4" t="s">
        <v>20</v>
      </c>
      <c r="O73" s="13">
        <f t="shared" si="1"/>
        <v>8.1549489395129612E-2</v>
      </c>
    </row>
    <row r="74" spans="1:15">
      <c r="A74" s="4" t="s">
        <v>107</v>
      </c>
      <c r="B74" s="4" t="s">
        <v>28</v>
      </c>
      <c r="C74" s="111">
        <v>45783</v>
      </c>
      <c r="D74" s="4" t="s">
        <v>52</v>
      </c>
      <c r="E74" s="4" t="s">
        <v>15</v>
      </c>
      <c r="F74" s="7">
        <v>1085</v>
      </c>
      <c r="G74" s="7">
        <v>496</v>
      </c>
      <c r="H74" s="7">
        <v>320</v>
      </c>
      <c r="I74" s="7">
        <v>36528</v>
      </c>
      <c r="J74" s="7">
        <v>38599</v>
      </c>
      <c r="K74" s="7">
        <v>270</v>
      </c>
      <c r="L74" s="4" t="s">
        <v>19</v>
      </c>
      <c r="M74" s="4" t="s">
        <v>40</v>
      </c>
      <c r="N74" s="4" t="s">
        <v>53</v>
      </c>
      <c r="O74" s="13">
        <f t="shared" si="1"/>
        <v>5.2042268944371438E-2</v>
      </c>
    </row>
    <row r="75" spans="1:15">
      <c r="A75" s="4" t="s">
        <v>108</v>
      </c>
      <c r="B75" s="4" t="s">
        <v>22</v>
      </c>
      <c r="C75" s="111">
        <v>45431</v>
      </c>
      <c r="D75" s="4" t="s">
        <v>23</v>
      </c>
      <c r="E75" s="4" t="s">
        <v>33</v>
      </c>
      <c r="F75" s="7">
        <v>1763</v>
      </c>
      <c r="G75" s="7">
        <v>206</v>
      </c>
      <c r="H75" s="7">
        <v>187</v>
      </c>
      <c r="I75" s="7">
        <v>53342</v>
      </c>
      <c r="J75" s="7">
        <v>25095</v>
      </c>
      <c r="K75" s="7">
        <v>88</v>
      </c>
      <c r="L75" s="4" t="s">
        <v>19</v>
      </c>
      <c r="M75" s="4" t="s">
        <v>363</v>
      </c>
      <c r="N75" s="4" t="s">
        <v>16</v>
      </c>
      <c r="O75" s="13">
        <f t="shared" si="1"/>
        <v>4.0418432004799221E-2</v>
      </c>
    </row>
    <row r="76" spans="1:15">
      <c r="A76" s="4" t="s">
        <v>109</v>
      </c>
      <c r="B76" s="4" t="s">
        <v>22</v>
      </c>
      <c r="C76" s="111">
        <v>45313</v>
      </c>
      <c r="D76" s="4" t="s">
        <v>23</v>
      </c>
      <c r="E76" s="4" t="s">
        <v>44</v>
      </c>
      <c r="F76" s="7">
        <v>1554</v>
      </c>
      <c r="G76" s="7">
        <v>455</v>
      </c>
      <c r="H76" s="7">
        <v>158</v>
      </c>
      <c r="I76" s="7">
        <v>41947</v>
      </c>
      <c r="J76" s="7">
        <v>48578</v>
      </c>
      <c r="K76" s="7">
        <v>101</v>
      </c>
      <c r="L76" s="4" t="s">
        <v>40</v>
      </c>
      <c r="M76" s="4" t="s">
        <v>37</v>
      </c>
      <c r="N76" s="4" t="s">
        <v>16</v>
      </c>
      <c r="O76" s="13">
        <f t="shared" si="1"/>
        <v>5.1660428636136076E-2</v>
      </c>
    </row>
    <row r="77" spans="1:15">
      <c r="A77" s="4" t="s">
        <v>110</v>
      </c>
      <c r="B77" s="4" t="s">
        <v>13</v>
      </c>
      <c r="C77" s="111">
        <v>45487</v>
      </c>
      <c r="D77" s="4" t="s">
        <v>14</v>
      </c>
      <c r="E77" s="4" t="s">
        <v>26</v>
      </c>
      <c r="F77" s="7">
        <v>2464</v>
      </c>
      <c r="G77" s="7">
        <v>401</v>
      </c>
      <c r="H77" s="7">
        <v>78</v>
      </c>
      <c r="I77" s="7">
        <v>38665</v>
      </c>
      <c r="J77" s="7">
        <v>73593</v>
      </c>
      <c r="K77" s="7">
        <v>207</v>
      </c>
      <c r="L77" s="4" t="s">
        <v>19</v>
      </c>
      <c r="M77" s="4"/>
      <c r="N77" s="4" t="s">
        <v>20</v>
      </c>
      <c r="O77" s="13">
        <f t="shared" si="1"/>
        <v>7.611534979956032E-2</v>
      </c>
    </row>
    <row r="78" spans="1:15">
      <c r="A78" s="4" t="s">
        <v>111</v>
      </c>
      <c r="B78" s="4" t="s">
        <v>22</v>
      </c>
      <c r="C78" s="111">
        <v>45805</v>
      </c>
      <c r="D78" s="4" t="s">
        <v>14</v>
      </c>
      <c r="E78" s="4" t="s">
        <v>44</v>
      </c>
      <c r="F78" s="7">
        <v>2418</v>
      </c>
      <c r="G78" s="7">
        <v>161</v>
      </c>
      <c r="H78" s="7">
        <v>360</v>
      </c>
      <c r="I78" s="7">
        <v>30589</v>
      </c>
      <c r="J78" s="7">
        <v>41383</v>
      </c>
      <c r="K78" s="7">
        <v>88</v>
      </c>
      <c r="L78" s="4" t="s">
        <v>37</v>
      </c>
      <c r="M78" s="4"/>
      <c r="N78" s="4" t="s">
        <v>16</v>
      </c>
      <c r="O78" s="13">
        <f t="shared" si="1"/>
        <v>9.6080290300434801E-2</v>
      </c>
    </row>
    <row r="79" spans="1:15">
      <c r="A79" s="4" t="s">
        <v>112</v>
      </c>
      <c r="B79" s="4" t="s">
        <v>22</v>
      </c>
      <c r="C79" s="111">
        <v>45678</v>
      </c>
      <c r="D79" s="4" t="s">
        <v>23</v>
      </c>
      <c r="E79" s="4" t="s">
        <v>15</v>
      </c>
      <c r="F79" s="7">
        <v>2494</v>
      </c>
      <c r="G79" s="7">
        <v>494</v>
      </c>
      <c r="H79" s="7">
        <v>55</v>
      </c>
      <c r="I79" s="7">
        <v>22580</v>
      </c>
      <c r="J79" s="7">
        <v>22214</v>
      </c>
      <c r="K79" s="7">
        <v>109</v>
      </c>
      <c r="L79" s="4" t="s">
        <v>363</v>
      </c>
      <c r="M79" s="4" t="s">
        <v>37</v>
      </c>
      <c r="N79" s="4" t="s">
        <v>16</v>
      </c>
      <c r="O79" s="13">
        <f t="shared" si="1"/>
        <v>0.13476527900797167</v>
      </c>
    </row>
    <row r="80" spans="1:15">
      <c r="A80" s="4" t="s">
        <v>113</v>
      </c>
      <c r="B80" s="4" t="s">
        <v>28</v>
      </c>
      <c r="C80" s="111">
        <v>45304</v>
      </c>
      <c r="D80" s="4" t="s">
        <v>52</v>
      </c>
      <c r="E80" s="4" t="s">
        <v>24</v>
      </c>
      <c r="F80" s="7">
        <v>4781</v>
      </c>
      <c r="G80" s="7">
        <v>191</v>
      </c>
      <c r="H80" s="7">
        <v>122</v>
      </c>
      <c r="I80" s="7">
        <v>35535</v>
      </c>
      <c r="J80" s="7">
        <v>50777</v>
      </c>
      <c r="K80" s="7">
        <v>128</v>
      </c>
      <c r="L80" s="4" t="s">
        <v>19</v>
      </c>
      <c r="M80" s="4" t="s">
        <v>40</v>
      </c>
      <c r="N80" s="4" t="s">
        <v>53</v>
      </c>
      <c r="O80" s="13">
        <f t="shared" si="1"/>
        <v>0.14335162515829464</v>
      </c>
    </row>
    <row r="81" spans="1:15">
      <c r="A81" s="4" t="s">
        <v>114</v>
      </c>
      <c r="B81" s="4" t="s">
        <v>13</v>
      </c>
      <c r="C81" s="111">
        <v>45825</v>
      </c>
      <c r="D81" s="4" t="s">
        <v>14</v>
      </c>
      <c r="E81" s="4" t="s">
        <v>29</v>
      </c>
      <c r="F81" s="7">
        <v>2284</v>
      </c>
      <c r="G81" s="7">
        <v>187</v>
      </c>
      <c r="H81" s="7">
        <v>260</v>
      </c>
      <c r="I81" s="7">
        <v>37400</v>
      </c>
      <c r="J81" s="7">
        <v>65014</v>
      </c>
      <c r="K81" s="7">
        <v>157</v>
      </c>
      <c r="L81" s="4" t="s">
        <v>40</v>
      </c>
      <c r="M81" s="4" t="s">
        <v>37</v>
      </c>
      <c r="N81" s="4" t="s">
        <v>16</v>
      </c>
      <c r="O81" s="13">
        <f t="shared" si="1"/>
        <v>7.3021390374331557E-2</v>
      </c>
    </row>
    <row r="82" spans="1:15">
      <c r="A82" s="4" t="s">
        <v>115</v>
      </c>
      <c r="B82" s="4" t="s">
        <v>22</v>
      </c>
      <c r="C82" s="111">
        <v>45723</v>
      </c>
      <c r="D82" s="4" t="s">
        <v>14</v>
      </c>
      <c r="E82" s="4" t="s">
        <v>33</v>
      </c>
      <c r="F82" s="7">
        <v>4234</v>
      </c>
      <c r="G82" s="7">
        <v>486</v>
      </c>
      <c r="H82" s="7">
        <v>276</v>
      </c>
      <c r="I82" s="7">
        <v>56623</v>
      </c>
      <c r="J82" s="7">
        <v>41343</v>
      </c>
      <c r="K82" s="7">
        <v>184</v>
      </c>
      <c r="L82" s="4" t="s">
        <v>40</v>
      </c>
      <c r="M82" s="4"/>
      <c r="N82" s="4" t="s">
        <v>20</v>
      </c>
      <c r="O82" s="13">
        <f t="shared" si="1"/>
        <v>8.8232696960599044E-2</v>
      </c>
    </row>
    <row r="83" spans="1:15">
      <c r="A83" s="4" t="s">
        <v>116</v>
      </c>
      <c r="B83" s="4" t="s">
        <v>13</v>
      </c>
      <c r="C83" s="111">
        <v>45530</v>
      </c>
      <c r="D83" s="4" t="s">
        <v>14</v>
      </c>
      <c r="E83" s="4" t="s">
        <v>46</v>
      </c>
      <c r="F83" s="7">
        <v>2102</v>
      </c>
      <c r="G83" s="7">
        <v>181</v>
      </c>
      <c r="H83" s="7">
        <v>306</v>
      </c>
      <c r="I83" s="7">
        <v>43650</v>
      </c>
      <c r="J83" s="7">
        <v>50079</v>
      </c>
      <c r="K83" s="7">
        <v>182</v>
      </c>
      <c r="L83" s="4" t="s">
        <v>19</v>
      </c>
      <c r="M83" s="4"/>
      <c r="N83" s="4" t="s">
        <v>20</v>
      </c>
      <c r="O83" s="13">
        <f t="shared" si="1"/>
        <v>5.9312714776632303E-2</v>
      </c>
    </row>
    <row r="84" spans="1:15">
      <c r="A84" s="4" t="s">
        <v>117</v>
      </c>
      <c r="B84" s="4" t="s">
        <v>22</v>
      </c>
      <c r="C84" s="111">
        <v>45660</v>
      </c>
      <c r="D84" s="4" t="s">
        <v>23</v>
      </c>
      <c r="E84" s="4" t="s">
        <v>33</v>
      </c>
      <c r="F84" s="7">
        <v>4845</v>
      </c>
      <c r="G84" s="7">
        <v>158</v>
      </c>
      <c r="H84" s="7">
        <v>84</v>
      </c>
      <c r="I84" s="7">
        <v>34578</v>
      </c>
      <c r="J84" s="7">
        <v>51480</v>
      </c>
      <c r="K84" s="7">
        <v>180</v>
      </c>
      <c r="L84" s="4" t="s">
        <v>40</v>
      </c>
      <c r="M84" s="4" t="s">
        <v>37</v>
      </c>
      <c r="N84" s="4" t="s">
        <v>16</v>
      </c>
      <c r="O84" s="13">
        <f t="shared" si="1"/>
        <v>0.1471166637746544</v>
      </c>
    </row>
    <row r="85" spans="1:15">
      <c r="A85" s="4" t="s">
        <v>118</v>
      </c>
      <c r="B85" s="4" t="s">
        <v>22</v>
      </c>
      <c r="C85" s="111">
        <v>45507</v>
      </c>
      <c r="D85" s="4" t="s">
        <v>14</v>
      </c>
      <c r="E85" s="4" t="s">
        <v>46</v>
      </c>
      <c r="F85" s="7">
        <v>4247</v>
      </c>
      <c r="G85" s="7">
        <v>390</v>
      </c>
      <c r="H85" s="7">
        <v>213</v>
      </c>
      <c r="I85" s="7">
        <v>29785</v>
      </c>
      <c r="J85" s="7">
        <v>57768</v>
      </c>
      <c r="K85" s="7">
        <v>122</v>
      </c>
      <c r="L85" s="4" t="s">
        <v>37</v>
      </c>
      <c r="M85" s="4"/>
      <c r="N85" s="4" t="s">
        <v>16</v>
      </c>
      <c r="O85" s="13">
        <f t="shared" si="1"/>
        <v>0.16283364109451065</v>
      </c>
    </row>
    <row r="86" spans="1:15">
      <c r="A86" s="4" t="s">
        <v>119</v>
      </c>
      <c r="B86" s="4" t="s">
        <v>13</v>
      </c>
      <c r="C86" s="111">
        <v>45522</v>
      </c>
      <c r="D86" s="4" t="s">
        <v>14</v>
      </c>
      <c r="E86" s="4" t="s">
        <v>18</v>
      </c>
      <c r="F86" s="7">
        <v>2965</v>
      </c>
      <c r="G86" s="7">
        <v>328</v>
      </c>
      <c r="H86" s="7">
        <v>171</v>
      </c>
      <c r="I86" s="7">
        <v>57685</v>
      </c>
      <c r="J86" s="7">
        <v>67536</v>
      </c>
      <c r="K86" s="7">
        <v>264</v>
      </c>
      <c r="L86" s="4" t="s">
        <v>40</v>
      </c>
      <c r="M86" s="4" t="s">
        <v>37</v>
      </c>
      <c r="N86" s="4" t="s">
        <v>16</v>
      </c>
      <c r="O86" s="13">
        <f t="shared" si="1"/>
        <v>6.0050273034584378E-2</v>
      </c>
    </row>
    <row r="87" spans="1:15">
      <c r="A87" s="4" t="s">
        <v>120</v>
      </c>
      <c r="B87" s="4" t="s">
        <v>22</v>
      </c>
      <c r="C87" s="111">
        <v>45791</v>
      </c>
      <c r="D87" s="4" t="s">
        <v>23</v>
      </c>
      <c r="E87" s="4" t="s">
        <v>26</v>
      </c>
      <c r="F87" s="7">
        <v>1371</v>
      </c>
      <c r="G87" s="7">
        <v>139</v>
      </c>
      <c r="H87" s="7">
        <v>96</v>
      </c>
      <c r="I87" s="7">
        <v>36140</v>
      </c>
      <c r="J87" s="7">
        <v>39395</v>
      </c>
      <c r="K87" s="7">
        <v>169</v>
      </c>
      <c r="L87" s="4" t="s">
        <v>40</v>
      </c>
      <c r="M87" s="4" t="s">
        <v>37</v>
      </c>
      <c r="N87" s="4" t="s">
        <v>16</v>
      </c>
      <c r="O87" s="13">
        <f t="shared" si="1"/>
        <v>4.4438295517432211E-2</v>
      </c>
    </row>
    <row r="88" spans="1:15">
      <c r="A88" s="4" t="s">
        <v>121</v>
      </c>
      <c r="B88" s="4" t="s">
        <v>22</v>
      </c>
      <c r="C88" s="111">
        <v>45405</v>
      </c>
      <c r="D88" s="4" t="s">
        <v>23</v>
      </c>
      <c r="E88" s="4" t="s">
        <v>15</v>
      </c>
      <c r="F88" s="7">
        <v>2683</v>
      </c>
      <c r="G88" s="7">
        <v>496</v>
      </c>
      <c r="H88" s="7">
        <v>89</v>
      </c>
      <c r="I88" s="7">
        <v>53435</v>
      </c>
      <c r="J88" s="7">
        <v>30334</v>
      </c>
      <c r="K88" s="7">
        <v>160</v>
      </c>
      <c r="L88" s="4" t="s">
        <v>40</v>
      </c>
      <c r="M88" s="4" t="s">
        <v>37</v>
      </c>
      <c r="N88" s="4" t="s">
        <v>16</v>
      </c>
      <c r="O88" s="13">
        <f t="shared" si="1"/>
        <v>6.1158416768035934E-2</v>
      </c>
    </row>
    <row r="89" spans="1:15">
      <c r="A89" s="4" t="s">
        <v>122</v>
      </c>
      <c r="B89" s="4" t="s">
        <v>22</v>
      </c>
      <c r="C89" s="111">
        <v>45705</v>
      </c>
      <c r="D89" s="4" t="s">
        <v>23</v>
      </c>
      <c r="E89" s="4" t="s">
        <v>31</v>
      </c>
      <c r="F89" s="7">
        <v>4796</v>
      </c>
      <c r="G89" s="7">
        <v>427</v>
      </c>
      <c r="H89" s="7">
        <v>339</v>
      </c>
      <c r="I89" s="7">
        <v>30752</v>
      </c>
      <c r="J89" s="7">
        <v>33870</v>
      </c>
      <c r="K89" s="7">
        <v>298</v>
      </c>
      <c r="L89" s="4" t="s">
        <v>40</v>
      </c>
      <c r="M89" s="4" t="s">
        <v>37</v>
      </c>
      <c r="N89" s="4" t="s">
        <v>16</v>
      </c>
      <c r="O89" s="13">
        <f t="shared" si="1"/>
        <v>0.18086628511966701</v>
      </c>
    </row>
    <row r="90" spans="1:15">
      <c r="A90" s="4" t="s">
        <v>123</v>
      </c>
      <c r="B90" s="4" t="s">
        <v>13</v>
      </c>
      <c r="C90" s="111">
        <v>45630</v>
      </c>
      <c r="D90" s="4" t="s">
        <v>14</v>
      </c>
      <c r="E90" s="4" t="s">
        <v>26</v>
      </c>
      <c r="F90" s="7">
        <v>2601</v>
      </c>
      <c r="G90" s="7">
        <v>336</v>
      </c>
      <c r="H90" s="7">
        <v>260</v>
      </c>
      <c r="I90" s="7">
        <v>32368</v>
      </c>
      <c r="J90" s="7">
        <v>49028</v>
      </c>
      <c r="K90" s="7">
        <v>120</v>
      </c>
      <c r="L90" s="4" t="s">
        <v>40</v>
      </c>
      <c r="M90" s="4" t="s">
        <v>37</v>
      </c>
      <c r="N90" s="4" t="s">
        <v>16</v>
      </c>
      <c r="O90" s="13">
        <f t="shared" si="1"/>
        <v>9.8770390509144837E-2</v>
      </c>
    </row>
    <row r="91" spans="1:15">
      <c r="A91" s="4" t="s">
        <v>124</v>
      </c>
      <c r="B91" s="4" t="s">
        <v>22</v>
      </c>
      <c r="C91" s="111">
        <v>45495</v>
      </c>
      <c r="D91" s="4" t="s">
        <v>23</v>
      </c>
      <c r="E91" s="4" t="s">
        <v>26</v>
      </c>
      <c r="F91" s="7">
        <v>3336</v>
      </c>
      <c r="G91" s="7">
        <v>229</v>
      </c>
      <c r="H91" s="7">
        <v>337</v>
      </c>
      <c r="I91" s="7">
        <v>22117</v>
      </c>
      <c r="J91" s="7">
        <v>26205</v>
      </c>
      <c r="K91" s="7">
        <v>160</v>
      </c>
      <c r="L91" s="4" t="s">
        <v>363</v>
      </c>
      <c r="M91" s="4" t="s">
        <v>37</v>
      </c>
      <c r="N91" s="4" t="s">
        <v>16</v>
      </c>
      <c r="O91" s="13">
        <f t="shared" si="1"/>
        <v>0.17642537414658407</v>
      </c>
    </row>
    <row r="92" spans="1:15">
      <c r="A92" s="4" t="s">
        <v>125</v>
      </c>
      <c r="B92" s="4" t="s">
        <v>22</v>
      </c>
      <c r="C92" s="111">
        <v>45774</v>
      </c>
      <c r="D92" s="4" t="s">
        <v>14</v>
      </c>
      <c r="E92" s="4" t="s">
        <v>18</v>
      </c>
      <c r="F92" s="7">
        <v>1165</v>
      </c>
      <c r="G92" s="7">
        <v>294</v>
      </c>
      <c r="H92" s="7">
        <v>163</v>
      </c>
      <c r="I92" s="7">
        <v>20659</v>
      </c>
      <c r="J92" s="7">
        <v>45926</v>
      </c>
      <c r="K92" s="7">
        <v>111</v>
      </c>
      <c r="L92" s="4" t="s">
        <v>40</v>
      </c>
      <c r="M92" s="4"/>
      <c r="N92" s="4" t="s">
        <v>20</v>
      </c>
      <c r="O92" s="13">
        <f t="shared" si="1"/>
        <v>7.8512996756861422E-2</v>
      </c>
    </row>
    <row r="93" spans="1:15">
      <c r="A93" s="4" t="s">
        <v>126</v>
      </c>
      <c r="B93" s="4" t="s">
        <v>28</v>
      </c>
      <c r="C93" s="111">
        <v>45376</v>
      </c>
      <c r="D93" s="4" t="s">
        <v>52</v>
      </c>
      <c r="E93" s="4" t="s">
        <v>18</v>
      </c>
      <c r="F93" s="7">
        <v>1948</v>
      </c>
      <c r="G93" s="7">
        <v>155</v>
      </c>
      <c r="H93" s="7">
        <v>315</v>
      </c>
      <c r="I93" s="7">
        <v>30321</v>
      </c>
      <c r="J93" s="7">
        <v>57121</v>
      </c>
      <c r="K93" s="7">
        <v>82</v>
      </c>
      <c r="L93" s="4" t="s">
        <v>19</v>
      </c>
      <c r="M93" s="4" t="s">
        <v>40</v>
      </c>
      <c r="N93" s="4" t="s">
        <v>53</v>
      </c>
      <c r="O93" s="13">
        <f t="shared" si="1"/>
        <v>7.974671020085089E-2</v>
      </c>
    </row>
    <row r="94" spans="1:15">
      <c r="A94" s="4" t="s">
        <v>127</v>
      </c>
      <c r="B94" s="4" t="s">
        <v>13</v>
      </c>
      <c r="C94" s="111">
        <v>45351</v>
      </c>
      <c r="D94" s="4" t="s">
        <v>14</v>
      </c>
      <c r="E94" s="4" t="s">
        <v>44</v>
      </c>
      <c r="F94" s="7">
        <v>1100</v>
      </c>
      <c r="G94" s="7">
        <v>229</v>
      </c>
      <c r="H94" s="7">
        <v>312</v>
      </c>
      <c r="I94" s="7">
        <v>25641</v>
      </c>
      <c r="J94" s="7">
        <v>34601</v>
      </c>
      <c r="K94" s="7">
        <v>169</v>
      </c>
      <c r="L94" s="4" t="s">
        <v>19</v>
      </c>
      <c r="M94" s="4"/>
      <c r="N94" s="4" t="s">
        <v>20</v>
      </c>
      <c r="O94" s="13">
        <f t="shared" si="1"/>
        <v>6.3999063999063993E-2</v>
      </c>
    </row>
    <row r="95" spans="1:15">
      <c r="A95" s="4" t="s">
        <v>128</v>
      </c>
      <c r="B95" s="4" t="s">
        <v>22</v>
      </c>
      <c r="C95" s="111">
        <v>45609</v>
      </c>
      <c r="D95" s="4" t="s">
        <v>23</v>
      </c>
      <c r="E95" s="4" t="s">
        <v>36</v>
      </c>
      <c r="F95" s="7">
        <v>4628</v>
      </c>
      <c r="G95" s="7">
        <v>257</v>
      </c>
      <c r="H95" s="7">
        <v>397</v>
      </c>
      <c r="I95" s="7">
        <v>36686</v>
      </c>
      <c r="J95" s="7">
        <v>54683</v>
      </c>
      <c r="K95" s="7">
        <v>98</v>
      </c>
      <c r="L95" s="4" t="s">
        <v>40</v>
      </c>
      <c r="M95" s="4" t="s">
        <v>37</v>
      </c>
      <c r="N95" s="4" t="s">
        <v>16</v>
      </c>
      <c r="O95" s="13">
        <f t="shared" si="1"/>
        <v>0.1439786294499264</v>
      </c>
    </row>
    <row r="96" spans="1:15">
      <c r="A96" s="4" t="s">
        <v>129</v>
      </c>
      <c r="B96" s="4" t="s">
        <v>13</v>
      </c>
      <c r="C96" s="111">
        <v>45373</v>
      </c>
      <c r="D96" s="4" t="s">
        <v>23</v>
      </c>
      <c r="E96" s="4" t="s">
        <v>15</v>
      </c>
      <c r="F96" s="7">
        <v>2319</v>
      </c>
      <c r="G96" s="7">
        <v>484</v>
      </c>
      <c r="H96" s="7">
        <v>193</v>
      </c>
      <c r="I96" s="7">
        <v>21202</v>
      </c>
      <c r="J96" s="7">
        <v>18091</v>
      </c>
      <c r="K96" s="7">
        <v>241</v>
      </c>
      <c r="L96" s="4" t="s">
        <v>37</v>
      </c>
      <c r="M96" s="4"/>
      <c r="N96" s="4" t="s">
        <v>50</v>
      </c>
      <c r="O96" s="13">
        <f t="shared" si="1"/>
        <v>0.14130742382794076</v>
      </c>
    </row>
    <row r="97" spans="1:15">
      <c r="A97" s="4" t="s">
        <v>130</v>
      </c>
      <c r="B97" s="4" t="s">
        <v>22</v>
      </c>
      <c r="C97" s="111">
        <v>45367</v>
      </c>
      <c r="D97" s="4" t="s">
        <v>23</v>
      </c>
      <c r="E97" s="4" t="s">
        <v>26</v>
      </c>
      <c r="F97" s="7">
        <v>2895</v>
      </c>
      <c r="G97" s="7">
        <v>292</v>
      </c>
      <c r="H97" s="7">
        <v>90</v>
      </c>
      <c r="I97" s="7">
        <v>24223</v>
      </c>
      <c r="J97" s="7">
        <v>54626</v>
      </c>
      <c r="K97" s="7">
        <v>114</v>
      </c>
      <c r="L97" s="4" t="s">
        <v>40</v>
      </c>
      <c r="M97" s="4" t="s">
        <v>37</v>
      </c>
      <c r="N97" s="4" t="s">
        <v>16</v>
      </c>
      <c r="O97" s="13">
        <f t="shared" si="1"/>
        <v>0.13528464682326713</v>
      </c>
    </row>
    <row r="98" spans="1:15">
      <c r="A98" s="4" t="s">
        <v>131</v>
      </c>
      <c r="B98" s="4" t="s">
        <v>13</v>
      </c>
      <c r="C98" s="111">
        <v>45317</v>
      </c>
      <c r="D98" s="4" t="s">
        <v>14</v>
      </c>
      <c r="E98" s="4" t="s">
        <v>31</v>
      </c>
      <c r="F98" s="7">
        <v>3878</v>
      </c>
      <c r="G98" s="7">
        <v>431</v>
      </c>
      <c r="H98" s="7">
        <v>97</v>
      </c>
      <c r="I98" s="7">
        <v>41763</v>
      </c>
      <c r="J98" s="7">
        <v>29729</v>
      </c>
      <c r="K98" s="7">
        <v>191</v>
      </c>
      <c r="L98" s="4" t="s">
        <v>19</v>
      </c>
      <c r="M98" s="4"/>
      <c r="N98" s="4" t="s">
        <v>20</v>
      </c>
      <c r="O98" s="13">
        <f t="shared" si="1"/>
        <v>0.10550008380623997</v>
      </c>
    </row>
    <row r="99" spans="1:15">
      <c r="A99" s="4" t="s">
        <v>132</v>
      </c>
      <c r="B99" s="4" t="s">
        <v>22</v>
      </c>
      <c r="C99" s="111">
        <v>45366</v>
      </c>
      <c r="D99" s="4" t="s">
        <v>23</v>
      </c>
      <c r="E99" s="4" t="s">
        <v>33</v>
      </c>
      <c r="F99" s="7">
        <v>4969</v>
      </c>
      <c r="G99" s="7">
        <v>433</v>
      </c>
      <c r="H99" s="7">
        <v>237</v>
      </c>
      <c r="I99" s="7">
        <v>59552</v>
      </c>
      <c r="J99" s="7">
        <v>23885</v>
      </c>
      <c r="K99" s="7">
        <v>157</v>
      </c>
      <c r="L99" s="4" t="s">
        <v>19</v>
      </c>
      <c r="M99" s="4" t="s">
        <v>363</v>
      </c>
      <c r="N99" s="4" t="s">
        <v>16</v>
      </c>
      <c r="O99" s="13">
        <f t="shared" si="1"/>
        <v>9.4690354648038683E-2</v>
      </c>
    </row>
    <row r="100" spans="1:15">
      <c r="A100" s="4" t="s">
        <v>133</v>
      </c>
      <c r="B100" s="4" t="s">
        <v>22</v>
      </c>
      <c r="C100" s="111">
        <v>45580</v>
      </c>
      <c r="D100" s="4" t="s">
        <v>14</v>
      </c>
      <c r="E100" s="4" t="s">
        <v>26</v>
      </c>
      <c r="F100" s="7">
        <v>1984</v>
      </c>
      <c r="G100" s="7">
        <v>481</v>
      </c>
      <c r="H100" s="7">
        <v>356</v>
      </c>
      <c r="I100" s="7">
        <v>40681</v>
      </c>
      <c r="J100" s="7">
        <v>63111</v>
      </c>
      <c r="K100" s="7">
        <v>258</v>
      </c>
      <c r="L100" s="4" t="s">
        <v>37</v>
      </c>
      <c r="M100" s="4"/>
      <c r="N100" s="4" t="s">
        <v>16</v>
      </c>
      <c r="O100" s="13">
        <f t="shared" si="1"/>
        <v>6.934441139598338E-2</v>
      </c>
    </row>
    <row r="101" spans="1:15">
      <c r="A101" s="4" t="s">
        <v>134</v>
      </c>
      <c r="B101" s="4" t="s">
        <v>13</v>
      </c>
      <c r="C101" s="111">
        <v>45494</v>
      </c>
      <c r="D101" s="4" t="s">
        <v>14</v>
      </c>
      <c r="E101" s="4" t="s">
        <v>15</v>
      </c>
      <c r="F101" s="7">
        <v>3004</v>
      </c>
      <c r="G101" s="7">
        <v>415</v>
      </c>
      <c r="H101" s="7">
        <v>218</v>
      </c>
      <c r="I101" s="7">
        <v>36090</v>
      </c>
      <c r="J101" s="7">
        <v>37073</v>
      </c>
      <c r="K101" s="7">
        <v>181</v>
      </c>
      <c r="L101" s="4" t="s">
        <v>19</v>
      </c>
      <c r="M101" s="4"/>
      <c r="N101" s="4" t="s">
        <v>20</v>
      </c>
      <c r="O101" s="13">
        <f t="shared" si="1"/>
        <v>0.10077583818232197</v>
      </c>
    </row>
    <row r="102" spans="1:15">
      <c r="A102" s="4" t="s">
        <v>135</v>
      </c>
      <c r="B102" s="4" t="s">
        <v>22</v>
      </c>
      <c r="C102" s="111">
        <v>45577</v>
      </c>
      <c r="D102" s="4" t="s">
        <v>14</v>
      </c>
      <c r="E102" s="4" t="s">
        <v>33</v>
      </c>
      <c r="F102" s="7">
        <v>3169</v>
      </c>
      <c r="G102" s="7">
        <v>386</v>
      </c>
      <c r="H102" s="7">
        <v>175</v>
      </c>
      <c r="I102" s="7">
        <v>45012</v>
      </c>
      <c r="J102" s="7">
        <v>38508</v>
      </c>
      <c r="K102" s="7">
        <v>218</v>
      </c>
      <c r="L102" s="4" t="s">
        <v>37</v>
      </c>
      <c r="M102" s="4"/>
      <c r="N102" s="4" t="s">
        <v>16</v>
      </c>
      <c r="O102" s="13">
        <f t="shared" si="1"/>
        <v>8.2866791077934779E-2</v>
      </c>
    </row>
    <row r="103" spans="1:15">
      <c r="A103" s="4" t="s">
        <v>136</v>
      </c>
      <c r="B103" s="4" t="s">
        <v>22</v>
      </c>
      <c r="C103" s="111">
        <v>45591</v>
      </c>
      <c r="D103" s="4" t="s">
        <v>14</v>
      </c>
      <c r="E103" s="4" t="s">
        <v>15</v>
      </c>
      <c r="F103" s="7">
        <v>3036</v>
      </c>
      <c r="G103" s="7">
        <v>293</v>
      </c>
      <c r="H103" s="7">
        <v>115</v>
      </c>
      <c r="I103" s="7">
        <v>23776</v>
      </c>
      <c r="J103" s="7">
        <v>46386</v>
      </c>
      <c r="K103" s="7">
        <v>282</v>
      </c>
      <c r="L103" s="4" t="s">
        <v>37</v>
      </c>
      <c r="M103" s="4"/>
      <c r="N103" s="4" t="s">
        <v>16</v>
      </c>
      <c r="O103" s="13">
        <f t="shared" si="1"/>
        <v>0.14485195154777927</v>
      </c>
    </row>
    <row r="104" spans="1:15">
      <c r="A104" s="4" t="s">
        <v>137</v>
      </c>
      <c r="B104" s="4" t="s">
        <v>13</v>
      </c>
      <c r="C104" s="111">
        <v>45336</v>
      </c>
      <c r="D104" s="4" t="s">
        <v>14</v>
      </c>
      <c r="E104" s="4" t="s">
        <v>29</v>
      </c>
      <c r="F104" s="7">
        <v>1830</v>
      </c>
      <c r="G104" s="7">
        <v>112</v>
      </c>
      <c r="H104" s="7">
        <v>181</v>
      </c>
      <c r="I104" s="7">
        <v>31870</v>
      </c>
      <c r="J104" s="7">
        <v>55742</v>
      </c>
      <c r="K104" s="7">
        <v>263</v>
      </c>
      <c r="L104" s="4" t="s">
        <v>40</v>
      </c>
      <c r="M104" s="4" t="s">
        <v>37</v>
      </c>
      <c r="N104" s="4" t="s">
        <v>16</v>
      </c>
      <c r="O104" s="13">
        <f t="shared" si="1"/>
        <v>6.6614370881706936E-2</v>
      </c>
    </row>
    <row r="105" spans="1:15">
      <c r="A105" s="4" t="s">
        <v>138</v>
      </c>
      <c r="B105" s="4" t="s">
        <v>22</v>
      </c>
      <c r="C105" s="111">
        <v>45413</v>
      </c>
      <c r="D105" s="4" t="s">
        <v>23</v>
      </c>
      <c r="E105" s="4" t="s">
        <v>31</v>
      </c>
      <c r="F105" s="7">
        <v>2587</v>
      </c>
      <c r="G105" s="7">
        <v>447</v>
      </c>
      <c r="H105" s="7">
        <v>183</v>
      </c>
      <c r="I105" s="7">
        <v>36266</v>
      </c>
      <c r="J105" s="7">
        <v>32877</v>
      </c>
      <c r="K105" s="7">
        <v>132</v>
      </c>
      <c r="L105" s="4" t="s">
        <v>19</v>
      </c>
      <c r="M105" s="4" t="s">
        <v>363</v>
      </c>
      <c r="N105" s="4" t="s">
        <v>16</v>
      </c>
      <c r="O105" s="13">
        <f t="shared" si="1"/>
        <v>8.8705674736667947E-2</v>
      </c>
    </row>
    <row r="106" spans="1:15">
      <c r="A106" s="4" t="s">
        <v>139</v>
      </c>
      <c r="B106" s="4" t="s">
        <v>22</v>
      </c>
      <c r="C106" s="111">
        <v>45553</v>
      </c>
      <c r="D106" s="4" t="s">
        <v>14</v>
      </c>
      <c r="E106" s="4" t="s">
        <v>15</v>
      </c>
      <c r="F106" s="7">
        <v>2878</v>
      </c>
      <c r="G106" s="7">
        <v>265</v>
      </c>
      <c r="H106" s="7">
        <v>91</v>
      </c>
      <c r="I106" s="7">
        <v>52090</v>
      </c>
      <c r="J106" s="7">
        <v>28924</v>
      </c>
      <c r="K106" s="7">
        <v>133</v>
      </c>
      <c r="L106" s="4" t="s">
        <v>37</v>
      </c>
      <c r="M106" s="4"/>
      <c r="N106" s="4" t="s">
        <v>16</v>
      </c>
      <c r="O106" s="13">
        <f t="shared" si="1"/>
        <v>6.2084853138798232E-2</v>
      </c>
    </row>
    <row r="107" spans="1:15">
      <c r="A107" s="4" t="s">
        <v>140</v>
      </c>
      <c r="B107" s="4" t="s">
        <v>22</v>
      </c>
      <c r="C107" s="111">
        <v>45677</v>
      </c>
      <c r="D107" s="4" t="s">
        <v>23</v>
      </c>
      <c r="E107" s="4" t="s">
        <v>24</v>
      </c>
      <c r="F107" s="7">
        <v>4619</v>
      </c>
      <c r="G107" s="7">
        <v>272</v>
      </c>
      <c r="H107" s="7">
        <v>57</v>
      </c>
      <c r="I107" s="7">
        <v>21334</v>
      </c>
      <c r="J107" s="7">
        <v>46292</v>
      </c>
      <c r="K107" s="7">
        <v>91</v>
      </c>
      <c r="L107" s="4" t="s">
        <v>40</v>
      </c>
      <c r="M107" s="4" t="s">
        <v>37</v>
      </c>
      <c r="N107" s="4" t="s">
        <v>16</v>
      </c>
      <c r="O107" s="13">
        <f t="shared" si="1"/>
        <v>0.23193025217961938</v>
      </c>
    </row>
    <row r="108" spans="1:15">
      <c r="A108" s="4" t="s">
        <v>141</v>
      </c>
      <c r="B108" s="4" t="s">
        <v>22</v>
      </c>
      <c r="C108" s="111">
        <v>45670</v>
      </c>
      <c r="D108" s="4" t="s">
        <v>14</v>
      </c>
      <c r="E108" s="4" t="s">
        <v>29</v>
      </c>
      <c r="F108" s="7">
        <v>4090</v>
      </c>
      <c r="G108" s="7">
        <v>209</v>
      </c>
      <c r="H108" s="7">
        <v>278</v>
      </c>
      <c r="I108" s="7">
        <v>52853</v>
      </c>
      <c r="J108" s="7">
        <v>57084</v>
      </c>
      <c r="K108" s="7">
        <v>102</v>
      </c>
      <c r="L108" s="4" t="s">
        <v>40</v>
      </c>
      <c r="M108" s="4"/>
      <c r="N108" s="4" t="s">
        <v>20</v>
      </c>
      <c r="O108" s="13">
        <f t="shared" si="1"/>
        <v>8.6598679355949518E-2</v>
      </c>
    </row>
    <row r="109" spans="1:15">
      <c r="A109" s="4" t="s">
        <v>142</v>
      </c>
      <c r="B109" s="4" t="s">
        <v>28</v>
      </c>
      <c r="C109" s="111">
        <v>45542</v>
      </c>
      <c r="D109" s="4" t="s">
        <v>52</v>
      </c>
      <c r="E109" s="4" t="s">
        <v>29</v>
      </c>
      <c r="F109" s="7">
        <v>3882</v>
      </c>
      <c r="G109" s="7">
        <v>342</v>
      </c>
      <c r="H109" s="7">
        <v>374</v>
      </c>
      <c r="I109" s="7">
        <v>41991</v>
      </c>
      <c r="J109" s="7">
        <v>48554</v>
      </c>
      <c r="K109" s="7">
        <v>118</v>
      </c>
      <c r="L109" s="4" t="s">
        <v>19</v>
      </c>
      <c r="M109" s="4" t="s">
        <v>40</v>
      </c>
      <c r="N109" s="4" t="s">
        <v>53</v>
      </c>
      <c r="O109" s="13">
        <f t="shared" si="1"/>
        <v>0.10949965468790931</v>
      </c>
    </row>
    <row r="110" spans="1:15">
      <c r="A110" s="4" t="s">
        <v>143</v>
      </c>
      <c r="B110" s="4" t="s">
        <v>13</v>
      </c>
      <c r="C110" s="111">
        <v>45617</v>
      </c>
      <c r="D110" s="4" t="s">
        <v>14</v>
      </c>
      <c r="E110" s="4" t="s">
        <v>29</v>
      </c>
      <c r="F110" s="7">
        <v>4581</v>
      </c>
      <c r="G110" s="7">
        <v>181</v>
      </c>
      <c r="H110" s="7">
        <v>112</v>
      </c>
      <c r="I110" s="7">
        <v>35221</v>
      </c>
      <c r="J110" s="7">
        <v>28797</v>
      </c>
      <c r="K110" s="7">
        <v>164</v>
      </c>
      <c r="L110" s="4" t="s">
        <v>40</v>
      </c>
      <c r="M110" s="4" t="s">
        <v>37</v>
      </c>
      <c r="N110" s="4" t="s">
        <v>16</v>
      </c>
      <c r="O110" s="13">
        <f t="shared" si="1"/>
        <v>0.13838335084182732</v>
      </c>
    </row>
    <row r="111" spans="1:15">
      <c r="A111" s="4" t="s">
        <v>144</v>
      </c>
      <c r="B111" s="4" t="s">
        <v>13</v>
      </c>
      <c r="C111" s="111">
        <v>45469</v>
      </c>
      <c r="D111" s="4" t="s">
        <v>14</v>
      </c>
      <c r="E111" s="4" t="s">
        <v>24</v>
      </c>
      <c r="F111" s="7">
        <v>3253</v>
      </c>
      <c r="G111" s="7">
        <v>483</v>
      </c>
      <c r="H111" s="7">
        <v>336</v>
      </c>
      <c r="I111" s="7">
        <v>25397</v>
      </c>
      <c r="J111" s="7">
        <v>51485</v>
      </c>
      <c r="K111" s="7">
        <v>131</v>
      </c>
      <c r="L111" s="4" t="s">
        <v>19</v>
      </c>
      <c r="M111" s="4"/>
      <c r="N111" s="4" t="s">
        <v>20</v>
      </c>
      <c r="O111" s="13">
        <f t="shared" si="1"/>
        <v>0.16033389770445328</v>
      </c>
    </row>
    <row r="112" spans="1:15">
      <c r="A112" s="4" t="s">
        <v>145</v>
      </c>
      <c r="B112" s="4" t="s">
        <v>28</v>
      </c>
      <c r="C112" s="111">
        <v>45493</v>
      </c>
      <c r="D112" s="4" t="s">
        <v>52</v>
      </c>
      <c r="E112" s="4" t="s">
        <v>29</v>
      </c>
      <c r="F112" s="7">
        <v>4955</v>
      </c>
      <c r="G112" s="7">
        <v>299</v>
      </c>
      <c r="H112" s="7">
        <v>345</v>
      </c>
      <c r="I112" s="7">
        <v>33644</v>
      </c>
      <c r="J112" s="7">
        <v>43547</v>
      </c>
      <c r="K112" s="7">
        <v>194</v>
      </c>
      <c r="L112" s="4" t="s">
        <v>19</v>
      </c>
      <c r="M112" s="4" t="s">
        <v>40</v>
      </c>
      <c r="N112" s="4" t="s">
        <v>53</v>
      </c>
      <c r="O112" s="13">
        <f t="shared" si="1"/>
        <v>0.16641897515158721</v>
      </c>
    </row>
    <row r="113" spans="1:15">
      <c r="A113" s="4" t="s">
        <v>146</v>
      </c>
      <c r="B113" s="4" t="s">
        <v>13</v>
      </c>
      <c r="C113" s="111">
        <v>45704</v>
      </c>
      <c r="D113" s="4" t="s">
        <v>14</v>
      </c>
      <c r="E113" s="4" t="s">
        <v>46</v>
      </c>
      <c r="F113" s="7">
        <v>1333</v>
      </c>
      <c r="G113" s="7">
        <v>286</v>
      </c>
      <c r="H113" s="7">
        <v>298</v>
      </c>
      <c r="I113" s="7">
        <v>36174</v>
      </c>
      <c r="J113" s="7">
        <v>34517</v>
      </c>
      <c r="K113" s="7">
        <v>170</v>
      </c>
      <c r="L113" s="4" t="s">
        <v>40</v>
      </c>
      <c r="M113" s="4" t="s">
        <v>37</v>
      </c>
      <c r="N113" s="4" t="s">
        <v>16</v>
      </c>
      <c r="O113" s="13">
        <f t="shared" si="1"/>
        <v>5.2993862995521647E-2</v>
      </c>
    </row>
    <row r="114" spans="1:15">
      <c r="A114" s="4" t="s">
        <v>147</v>
      </c>
      <c r="B114" s="4" t="s">
        <v>13</v>
      </c>
      <c r="C114" s="111">
        <v>45544</v>
      </c>
      <c r="D114" s="4" t="s">
        <v>14</v>
      </c>
      <c r="E114" s="4" t="s">
        <v>24</v>
      </c>
      <c r="F114" s="7">
        <v>1616</v>
      </c>
      <c r="G114" s="7">
        <v>360</v>
      </c>
      <c r="H114" s="7">
        <v>180</v>
      </c>
      <c r="I114" s="7">
        <v>54342</v>
      </c>
      <c r="J114" s="7">
        <v>18796</v>
      </c>
      <c r="K114" s="7">
        <v>282</v>
      </c>
      <c r="L114" s="4" t="s">
        <v>40</v>
      </c>
      <c r="M114" s="4" t="s">
        <v>37</v>
      </c>
      <c r="N114" s="4" t="s">
        <v>16</v>
      </c>
      <c r="O114" s="13">
        <f t="shared" si="1"/>
        <v>3.9674653122814763E-2</v>
      </c>
    </row>
    <row r="115" spans="1:15">
      <c r="A115" s="4" t="s">
        <v>148</v>
      </c>
      <c r="B115" s="4" t="s">
        <v>22</v>
      </c>
      <c r="C115" s="111">
        <v>45489</v>
      </c>
      <c r="D115" s="4" t="s">
        <v>14</v>
      </c>
      <c r="E115" s="4" t="s">
        <v>36</v>
      </c>
      <c r="F115" s="7">
        <v>1803</v>
      </c>
      <c r="G115" s="7">
        <v>273</v>
      </c>
      <c r="H115" s="7">
        <v>287</v>
      </c>
      <c r="I115" s="7">
        <v>46176</v>
      </c>
      <c r="J115" s="7">
        <v>25488</v>
      </c>
      <c r="K115" s="7">
        <v>141</v>
      </c>
      <c r="L115" s="4" t="s">
        <v>37</v>
      </c>
      <c r="M115" s="4"/>
      <c r="N115" s="4" t="s">
        <v>16</v>
      </c>
      <c r="O115" s="13">
        <f t="shared" si="1"/>
        <v>5.1173769923769923E-2</v>
      </c>
    </row>
    <row r="116" spans="1:15">
      <c r="A116" s="4" t="s">
        <v>149</v>
      </c>
      <c r="B116" s="4" t="s">
        <v>13</v>
      </c>
      <c r="C116" s="111">
        <v>45762</v>
      </c>
      <c r="D116" s="4" t="s">
        <v>14</v>
      </c>
      <c r="E116" s="4" t="s">
        <v>18</v>
      </c>
      <c r="F116" s="7">
        <v>4177</v>
      </c>
      <c r="G116" s="7">
        <v>489</v>
      </c>
      <c r="H116" s="7">
        <v>331</v>
      </c>
      <c r="I116" s="7">
        <v>57451</v>
      </c>
      <c r="J116" s="7">
        <v>73793</v>
      </c>
      <c r="K116" s="7">
        <v>251</v>
      </c>
      <c r="L116" s="4" t="s">
        <v>19</v>
      </c>
      <c r="M116" s="4"/>
      <c r="N116" s="4" t="s">
        <v>20</v>
      </c>
      <c r="O116" s="13">
        <f t="shared" si="1"/>
        <v>8.6978468608031198E-2</v>
      </c>
    </row>
    <row r="117" spans="1:15">
      <c r="A117" s="4" t="s">
        <v>150</v>
      </c>
      <c r="B117" s="4" t="s">
        <v>13</v>
      </c>
      <c r="C117" s="111">
        <v>45781</v>
      </c>
      <c r="D117" s="4" t="s">
        <v>23</v>
      </c>
      <c r="E117" s="4" t="s">
        <v>24</v>
      </c>
      <c r="F117" s="7">
        <v>1311</v>
      </c>
      <c r="G117" s="7">
        <v>181</v>
      </c>
      <c r="H117" s="7">
        <v>361</v>
      </c>
      <c r="I117" s="7">
        <v>37148</v>
      </c>
      <c r="J117" s="7">
        <v>44875</v>
      </c>
      <c r="K117" s="7">
        <v>245</v>
      </c>
      <c r="L117" s="4" t="s">
        <v>37</v>
      </c>
      <c r="M117" s="4"/>
      <c r="N117" s="4" t="s">
        <v>50</v>
      </c>
      <c r="O117" s="13">
        <f t="shared" si="1"/>
        <v>4.9881554861634543E-2</v>
      </c>
    </row>
    <row r="118" spans="1:15">
      <c r="A118" s="4" t="s">
        <v>151</v>
      </c>
      <c r="B118" s="4" t="s">
        <v>13</v>
      </c>
      <c r="C118" s="111">
        <v>45340</v>
      </c>
      <c r="D118" s="4" t="s">
        <v>23</v>
      </c>
      <c r="E118" s="4" t="s">
        <v>44</v>
      </c>
      <c r="F118" s="7">
        <v>1516</v>
      </c>
      <c r="G118" s="7">
        <v>215</v>
      </c>
      <c r="H118" s="7">
        <v>332</v>
      </c>
      <c r="I118" s="7">
        <v>58981</v>
      </c>
      <c r="J118" s="7">
        <v>36118</v>
      </c>
      <c r="K118" s="7">
        <v>211</v>
      </c>
      <c r="L118" s="4" t="s">
        <v>37</v>
      </c>
      <c r="M118" s="4"/>
      <c r="N118" s="4" t="s">
        <v>50</v>
      </c>
      <c r="O118" s="13">
        <f t="shared" si="1"/>
        <v>3.4977365592309385E-2</v>
      </c>
    </row>
    <row r="119" spans="1:15">
      <c r="A119" s="4" t="s">
        <v>152</v>
      </c>
      <c r="B119" s="4" t="s">
        <v>22</v>
      </c>
      <c r="C119" s="111">
        <v>45428</v>
      </c>
      <c r="D119" s="4" t="s">
        <v>23</v>
      </c>
      <c r="E119" s="4" t="s">
        <v>29</v>
      </c>
      <c r="F119" s="7">
        <v>2023</v>
      </c>
      <c r="G119" s="7">
        <v>124</v>
      </c>
      <c r="H119" s="7">
        <v>99</v>
      </c>
      <c r="I119" s="7">
        <v>54524</v>
      </c>
      <c r="J119" s="7">
        <v>34790</v>
      </c>
      <c r="K119" s="7">
        <v>195</v>
      </c>
      <c r="L119" s="4" t="s">
        <v>19</v>
      </c>
      <c r="M119" s="4" t="s">
        <v>363</v>
      </c>
      <c r="N119" s="4" t="s">
        <v>16</v>
      </c>
      <c r="O119" s="13">
        <f t="shared" si="1"/>
        <v>4.1192869195216787E-2</v>
      </c>
    </row>
    <row r="120" spans="1:15">
      <c r="A120" s="4" t="s">
        <v>153</v>
      </c>
      <c r="B120" s="4" t="s">
        <v>22</v>
      </c>
      <c r="C120" s="111">
        <v>45806</v>
      </c>
      <c r="D120" s="4" t="s">
        <v>23</v>
      </c>
      <c r="E120" s="4" t="s">
        <v>29</v>
      </c>
      <c r="F120" s="7">
        <v>2134</v>
      </c>
      <c r="G120" s="7">
        <v>322</v>
      </c>
      <c r="H120" s="7">
        <v>114</v>
      </c>
      <c r="I120" s="7">
        <v>44338</v>
      </c>
      <c r="J120" s="7">
        <v>52165</v>
      </c>
      <c r="K120" s="7">
        <v>176</v>
      </c>
      <c r="L120" s="4" t="s">
        <v>363</v>
      </c>
      <c r="M120" s="4" t="s">
        <v>37</v>
      </c>
      <c r="N120" s="4" t="s">
        <v>16</v>
      </c>
      <c r="O120" s="13">
        <f t="shared" si="1"/>
        <v>5.7963823356939871E-2</v>
      </c>
    </row>
    <row r="121" spans="1:15">
      <c r="A121" s="4" t="s">
        <v>154</v>
      </c>
      <c r="B121" s="4" t="s">
        <v>13</v>
      </c>
      <c r="C121" s="111">
        <v>45674</v>
      </c>
      <c r="D121" s="4" t="s">
        <v>14</v>
      </c>
      <c r="E121" s="4" t="s">
        <v>36</v>
      </c>
      <c r="F121" s="7">
        <v>2266</v>
      </c>
      <c r="G121" s="7">
        <v>126</v>
      </c>
      <c r="H121" s="7">
        <v>140</v>
      </c>
      <c r="I121" s="7">
        <v>53759</v>
      </c>
      <c r="J121" s="7">
        <v>46834</v>
      </c>
      <c r="K121" s="7">
        <v>277</v>
      </c>
      <c r="L121" s="4" t="s">
        <v>19</v>
      </c>
      <c r="M121" s="4"/>
      <c r="N121" s="4" t="s">
        <v>20</v>
      </c>
      <c r="O121" s="13">
        <f t="shared" si="1"/>
        <v>4.7099090384865788E-2</v>
      </c>
    </row>
    <row r="122" spans="1:15">
      <c r="A122" s="4" t="s">
        <v>155</v>
      </c>
      <c r="B122" s="4" t="s">
        <v>13</v>
      </c>
      <c r="C122" s="111">
        <v>45777</v>
      </c>
      <c r="D122" s="4" t="s">
        <v>23</v>
      </c>
      <c r="E122" s="4" t="s">
        <v>24</v>
      </c>
      <c r="F122" s="7">
        <v>3916</v>
      </c>
      <c r="G122" s="7">
        <v>459</v>
      </c>
      <c r="H122" s="7">
        <v>229</v>
      </c>
      <c r="I122" s="7">
        <v>48989</v>
      </c>
      <c r="J122" s="7">
        <v>39768</v>
      </c>
      <c r="K122" s="7">
        <v>200</v>
      </c>
      <c r="L122" s="4" t="s">
        <v>37</v>
      </c>
      <c r="M122" s="4"/>
      <c r="N122" s="4" t="s">
        <v>50</v>
      </c>
      <c r="O122" s="13">
        <f t="shared" si="1"/>
        <v>9.3980281287635997E-2</v>
      </c>
    </row>
    <row r="123" spans="1:15">
      <c r="A123" s="4" t="s">
        <v>156</v>
      </c>
      <c r="B123" s="4" t="s">
        <v>22</v>
      </c>
      <c r="C123" s="111">
        <v>45346</v>
      </c>
      <c r="D123" s="4" t="s">
        <v>23</v>
      </c>
      <c r="E123" s="4" t="s">
        <v>29</v>
      </c>
      <c r="F123" s="7">
        <v>1022</v>
      </c>
      <c r="G123" s="7">
        <v>463</v>
      </c>
      <c r="H123" s="7">
        <v>360</v>
      </c>
      <c r="I123" s="7">
        <v>51468</v>
      </c>
      <c r="J123" s="7">
        <v>24279</v>
      </c>
      <c r="K123" s="7">
        <v>230</v>
      </c>
      <c r="L123" s="4" t="s">
        <v>19</v>
      </c>
      <c r="M123" s="4" t="s">
        <v>363</v>
      </c>
      <c r="N123" s="4" t="s">
        <v>16</v>
      </c>
      <c r="O123" s="13">
        <f t="shared" si="1"/>
        <v>3.5847516903707161E-2</v>
      </c>
    </row>
    <row r="124" spans="1:15">
      <c r="A124" s="4" t="s">
        <v>157</v>
      </c>
      <c r="B124" s="4" t="s">
        <v>28</v>
      </c>
      <c r="C124" s="111">
        <v>45424</v>
      </c>
      <c r="D124" s="4" t="s">
        <v>14</v>
      </c>
      <c r="E124" s="4" t="s">
        <v>44</v>
      </c>
      <c r="F124" s="7">
        <v>2911</v>
      </c>
      <c r="G124" s="7">
        <v>467</v>
      </c>
      <c r="H124" s="7">
        <v>94</v>
      </c>
      <c r="I124" s="7">
        <v>59083</v>
      </c>
      <c r="J124" s="7">
        <v>49762</v>
      </c>
      <c r="K124" s="7">
        <v>236</v>
      </c>
      <c r="L124" s="4" t="s">
        <v>19</v>
      </c>
      <c r="M124" s="4" t="s">
        <v>364</v>
      </c>
      <c r="N124" s="4" t="s">
        <v>20</v>
      </c>
      <c r="O124" s="13">
        <f t="shared" si="1"/>
        <v>5.8764788517847777E-2</v>
      </c>
    </row>
    <row r="125" spans="1:15">
      <c r="A125" s="4" t="s">
        <v>158</v>
      </c>
      <c r="B125" s="4" t="s">
        <v>22</v>
      </c>
      <c r="C125" s="111">
        <v>45421</v>
      </c>
      <c r="D125" s="4" t="s">
        <v>23</v>
      </c>
      <c r="E125" s="4" t="s">
        <v>24</v>
      </c>
      <c r="F125" s="7">
        <v>3277</v>
      </c>
      <c r="G125" s="7">
        <v>423</v>
      </c>
      <c r="H125" s="7">
        <v>259</v>
      </c>
      <c r="I125" s="7">
        <v>46328</v>
      </c>
      <c r="J125" s="7">
        <v>44293</v>
      </c>
      <c r="K125" s="7">
        <v>299</v>
      </c>
      <c r="L125" s="4" t="s">
        <v>40</v>
      </c>
      <c r="M125" s="4" t="s">
        <v>37</v>
      </c>
      <c r="N125" s="4" t="s">
        <v>16</v>
      </c>
      <c r="O125" s="13">
        <f t="shared" si="1"/>
        <v>8.5455879813503707E-2</v>
      </c>
    </row>
    <row r="126" spans="1:15">
      <c r="A126" s="4" t="s">
        <v>159</v>
      </c>
      <c r="B126" s="4" t="s">
        <v>22</v>
      </c>
      <c r="C126" s="111">
        <v>45602</v>
      </c>
      <c r="D126" s="4" t="s">
        <v>14</v>
      </c>
      <c r="E126" s="4" t="s">
        <v>44</v>
      </c>
      <c r="F126" s="7">
        <v>2956</v>
      </c>
      <c r="G126" s="7">
        <v>381</v>
      </c>
      <c r="H126" s="7">
        <v>345</v>
      </c>
      <c r="I126" s="7">
        <v>33347</v>
      </c>
      <c r="J126" s="7">
        <v>22558</v>
      </c>
      <c r="K126" s="7">
        <v>173</v>
      </c>
      <c r="L126" s="4" t="s">
        <v>37</v>
      </c>
      <c r="M126" s="4"/>
      <c r="N126" s="4" t="s">
        <v>16</v>
      </c>
      <c r="O126" s="13">
        <f t="shared" si="1"/>
        <v>0.11041472996071611</v>
      </c>
    </row>
    <row r="127" spans="1:15">
      <c r="A127" s="4" t="s">
        <v>160</v>
      </c>
      <c r="B127" s="4" t="s">
        <v>22</v>
      </c>
      <c r="C127" s="111">
        <v>45295</v>
      </c>
      <c r="D127" s="4" t="s">
        <v>23</v>
      </c>
      <c r="E127" s="4" t="s">
        <v>31</v>
      </c>
      <c r="F127" s="7">
        <v>3208</v>
      </c>
      <c r="G127" s="7">
        <v>476</v>
      </c>
      <c r="H127" s="7">
        <v>277</v>
      </c>
      <c r="I127" s="7">
        <v>56072</v>
      </c>
      <c r="J127" s="7">
        <v>21061</v>
      </c>
      <c r="K127" s="7">
        <v>113</v>
      </c>
      <c r="L127" s="4" t="s">
        <v>363</v>
      </c>
      <c r="M127" s="4" t="s">
        <v>37</v>
      </c>
      <c r="N127" s="4" t="s">
        <v>16</v>
      </c>
      <c r="O127" s="13">
        <f t="shared" si="1"/>
        <v>7.064131830503638E-2</v>
      </c>
    </row>
    <row r="128" spans="1:15">
      <c r="A128" s="4" t="s">
        <v>161</v>
      </c>
      <c r="B128" s="4" t="s">
        <v>22</v>
      </c>
      <c r="C128" s="111">
        <v>45319</v>
      </c>
      <c r="D128" s="4" t="s">
        <v>14</v>
      </c>
      <c r="E128" s="4" t="s">
        <v>29</v>
      </c>
      <c r="F128" s="7">
        <v>1456</v>
      </c>
      <c r="G128" s="7">
        <v>265</v>
      </c>
      <c r="H128" s="7">
        <v>137</v>
      </c>
      <c r="I128" s="7">
        <v>53485</v>
      </c>
      <c r="J128" s="7">
        <v>59729</v>
      </c>
      <c r="K128" s="7">
        <v>145</v>
      </c>
      <c r="L128" s="4" t="s">
        <v>40</v>
      </c>
      <c r="M128" s="4"/>
      <c r="N128" s="4" t="s">
        <v>20</v>
      </c>
      <c r="O128" s="13">
        <f t="shared" si="1"/>
        <v>3.4738711788351875E-2</v>
      </c>
    </row>
    <row r="129" spans="1:15">
      <c r="A129" s="4" t="s">
        <v>162</v>
      </c>
      <c r="B129" s="4" t="s">
        <v>13</v>
      </c>
      <c r="C129" s="111">
        <v>45344</v>
      </c>
      <c r="D129" s="4" t="s">
        <v>14</v>
      </c>
      <c r="E129" s="4" t="s">
        <v>24</v>
      </c>
      <c r="F129" s="7">
        <v>1902</v>
      </c>
      <c r="G129" s="7">
        <v>394</v>
      </c>
      <c r="H129" s="7">
        <v>279</v>
      </c>
      <c r="I129" s="7">
        <v>24615</v>
      </c>
      <c r="J129" s="7">
        <v>51330</v>
      </c>
      <c r="K129" s="7">
        <v>176</v>
      </c>
      <c r="L129" s="4" t="s">
        <v>40</v>
      </c>
      <c r="M129" s="4" t="s">
        <v>37</v>
      </c>
      <c r="N129" s="4" t="s">
        <v>16</v>
      </c>
      <c r="O129" s="13">
        <f t="shared" si="1"/>
        <v>0.10461100954702417</v>
      </c>
    </row>
    <row r="130" spans="1:15">
      <c r="A130" s="4" t="s">
        <v>163</v>
      </c>
      <c r="B130" s="4" t="s">
        <v>22</v>
      </c>
      <c r="C130" s="111">
        <v>45839</v>
      </c>
      <c r="D130" s="4" t="s">
        <v>23</v>
      </c>
      <c r="E130" s="4" t="s">
        <v>18</v>
      </c>
      <c r="F130" s="7">
        <v>3219</v>
      </c>
      <c r="G130" s="7">
        <v>424</v>
      </c>
      <c r="H130" s="7">
        <v>267</v>
      </c>
      <c r="I130" s="7">
        <v>48879</v>
      </c>
      <c r="J130" s="7">
        <v>37691</v>
      </c>
      <c r="K130" s="7">
        <v>224</v>
      </c>
      <c r="L130" s="4" t="s">
        <v>19</v>
      </c>
      <c r="M130" s="4" t="s">
        <v>363</v>
      </c>
      <c r="N130" s="4" t="s">
        <v>16</v>
      </c>
      <c r="O130" s="13">
        <f t="shared" ref="O130:O193" si="2">(F130+H130+G130)/I130</f>
        <v>7.9993453221219743E-2</v>
      </c>
    </row>
    <row r="131" spans="1:15">
      <c r="A131" s="4" t="s">
        <v>164</v>
      </c>
      <c r="B131" s="4" t="s">
        <v>28</v>
      </c>
      <c r="C131" s="111">
        <v>45301</v>
      </c>
      <c r="D131" s="4" t="s">
        <v>14</v>
      </c>
      <c r="E131" s="4" t="s">
        <v>18</v>
      </c>
      <c r="F131" s="7">
        <v>1261</v>
      </c>
      <c r="G131" s="7">
        <v>190</v>
      </c>
      <c r="H131" s="7">
        <v>233</v>
      </c>
      <c r="I131" s="7">
        <v>59888</v>
      </c>
      <c r="J131" s="7">
        <v>51449</v>
      </c>
      <c r="K131" s="7">
        <v>205</v>
      </c>
      <c r="L131" s="4" t="s">
        <v>19</v>
      </c>
      <c r="M131" s="4" t="s">
        <v>364</v>
      </c>
      <c r="N131" s="4" t="s">
        <v>20</v>
      </c>
      <c r="O131" s="13">
        <f t="shared" si="2"/>
        <v>2.811915575741384E-2</v>
      </c>
    </row>
    <row r="132" spans="1:15">
      <c r="A132" s="4" t="s">
        <v>165</v>
      </c>
      <c r="B132" s="4" t="s">
        <v>22</v>
      </c>
      <c r="C132" s="111">
        <v>45736</v>
      </c>
      <c r="D132" s="4" t="s">
        <v>14</v>
      </c>
      <c r="E132" s="4" t="s">
        <v>46</v>
      </c>
      <c r="F132" s="7">
        <v>1564</v>
      </c>
      <c r="G132" s="7">
        <v>362</v>
      </c>
      <c r="H132" s="7">
        <v>371</v>
      </c>
      <c r="I132" s="7">
        <v>42075</v>
      </c>
      <c r="J132" s="7">
        <v>66659</v>
      </c>
      <c r="K132" s="7">
        <v>205</v>
      </c>
      <c r="L132" s="4" t="s">
        <v>40</v>
      </c>
      <c r="M132" s="4"/>
      <c r="N132" s="4" t="s">
        <v>20</v>
      </c>
      <c r="O132" s="13">
        <f t="shared" si="2"/>
        <v>5.4592988710635768E-2</v>
      </c>
    </row>
    <row r="133" spans="1:15">
      <c r="A133" s="4" t="s">
        <v>166</v>
      </c>
      <c r="B133" s="4" t="s">
        <v>22</v>
      </c>
      <c r="C133" s="111">
        <v>45563</v>
      </c>
      <c r="D133" s="4" t="s">
        <v>14</v>
      </c>
      <c r="E133" s="4" t="s">
        <v>31</v>
      </c>
      <c r="F133" s="7">
        <v>4006</v>
      </c>
      <c r="G133" s="7">
        <v>420</v>
      </c>
      <c r="H133" s="7">
        <v>194</v>
      </c>
      <c r="I133" s="7">
        <v>49964</v>
      </c>
      <c r="J133" s="7">
        <v>20685</v>
      </c>
      <c r="K133" s="7">
        <v>148</v>
      </c>
      <c r="L133" s="4" t="s">
        <v>37</v>
      </c>
      <c r="M133" s="4"/>
      <c r="N133" s="4" t="s">
        <v>16</v>
      </c>
      <c r="O133" s="13">
        <f t="shared" si="2"/>
        <v>9.2466575934672959E-2</v>
      </c>
    </row>
    <row r="134" spans="1:15">
      <c r="A134" s="4" t="s">
        <v>167</v>
      </c>
      <c r="B134" s="4" t="s">
        <v>28</v>
      </c>
      <c r="C134" s="111">
        <v>45318</v>
      </c>
      <c r="D134" s="4" t="s">
        <v>14</v>
      </c>
      <c r="E134" s="4" t="s">
        <v>46</v>
      </c>
      <c r="F134" s="7">
        <v>1976</v>
      </c>
      <c r="G134" s="7">
        <v>262</v>
      </c>
      <c r="H134" s="7">
        <v>218</v>
      </c>
      <c r="I134" s="7">
        <v>51696</v>
      </c>
      <c r="J134" s="7">
        <v>44846</v>
      </c>
      <c r="K134" s="7">
        <v>139</v>
      </c>
      <c r="L134" s="4" t="s">
        <v>19</v>
      </c>
      <c r="M134" s="4" t="s">
        <v>364</v>
      </c>
      <c r="N134" s="4" t="s">
        <v>20</v>
      </c>
      <c r="O134" s="13">
        <f t="shared" si="2"/>
        <v>4.7508511296812134E-2</v>
      </c>
    </row>
    <row r="135" spans="1:15">
      <c r="A135" s="4" t="s">
        <v>168</v>
      </c>
      <c r="B135" s="4" t="s">
        <v>22</v>
      </c>
      <c r="C135" s="111">
        <v>45792</v>
      </c>
      <c r="D135" s="4" t="s">
        <v>14</v>
      </c>
      <c r="E135" s="4" t="s">
        <v>24</v>
      </c>
      <c r="F135" s="7">
        <v>1583</v>
      </c>
      <c r="G135" s="7">
        <v>433</v>
      </c>
      <c r="H135" s="7">
        <v>249</v>
      </c>
      <c r="I135" s="7">
        <v>30256</v>
      </c>
      <c r="J135" s="7">
        <v>47066</v>
      </c>
      <c r="K135" s="7">
        <v>196</v>
      </c>
      <c r="L135" s="4" t="s">
        <v>37</v>
      </c>
      <c r="M135" s="4"/>
      <c r="N135" s="4" t="s">
        <v>16</v>
      </c>
      <c r="O135" s="13">
        <f t="shared" si="2"/>
        <v>7.4861184558434685E-2</v>
      </c>
    </row>
    <row r="136" spans="1:15">
      <c r="A136" s="4" t="s">
        <v>169</v>
      </c>
      <c r="B136" s="4" t="s">
        <v>22</v>
      </c>
      <c r="C136" s="111">
        <v>45569</v>
      </c>
      <c r="D136" s="4" t="s">
        <v>23</v>
      </c>
      <c r="E136" s="4" t="s">
        <v>18</v>
      </c>
      <c r="F136" s="7">
        <v>2870</v>
      </c>
      <c r="G136" s="7">
        <v>380</v>
      </c>
      <c r="H136" s="7">
        <v>393</v>
      </c>
      <c r="I136" s="7">
        <v>37621</v>
      </c>
      <c r="J136" s="7">
        <v>71794</v>
      </c>
      <c r="K136" s="7">
        <v>127</v>
      </c>
      <c r="L136" s="4" t="s">
        <v>363</v>
      </c>
      <c r="M136" s="4" t="s">
        <v>37</v>
      </c>
      <c r="N136" s="4" t="s">
        <v>16</v>
      </c>
      <c r="O136" s="13">
        <f t="shared" si="2"/>
        <v>9.6834214933149046E-2</v>
      </c>
    </row>
    <row r="137" spans="1:15">
      <c r="A137" s="4" t="s">
        <v>170</v>
      </c>
      <c r="B137" s="4" t="s">
        <v>22</v>
      </c>
      <c r="C137" s="111">
        <v>45615</v>
      </c>
      <c r="D137" s="4" t="s">
        <v>14</v>
      </c>
      <c r="E137" s="4" t="s">
        <v>36</v>
      </c>
      <c r="F137" s="7">
        <v>3728</v>
      </c>
      <c r="G137" s="7">
        <v>271</v>
      </c>
      <c r="H137" s="7">
        <v>275</v>
      </c>
      <c r="I137" s="7">
        <v>22827</v>
      </c>
      <c r="J137" s="7">
        <v>37034</v>
      </c>
      <c r="K137" s="7">
        <v>199</v>
      </c>
      <c r="L137" s="4" t="s">
        <v>37</v>
      </c>
      <c r="M137" s="4"/>
      <c r="N137" s="4" t="s">
        <v>16</v>
      </c>
      <c r="O137" s="13">
        <f t="shared" si="2"/>
        <v>0.18723441538528934</v>
      </c>
    </row>
    <row r="138" spans="1:15">
      <c r="A138" s="4" t="s">
        <v>171</v>
      </c>
      <c r="B138" s="4" t="s">
        <v>22</v>
      </c>
      <c r="C138" s="111">
        <v>45387</v>
      </c>
      <c r="D138" s="4" t="s">
        <v>23</v>
      </c>
      <c r="E138" s="4" t="s">
        <v>24</v>
      </c>
      <c r="F138" s="7">
        <v>4965</v>
      </c>
      <c r="G138" s="7">
        <v>175</v>
      </c>
      <c r="H138" s="7">
        <v>307</v>
      </c>
      <c r="I138" s="7">
        <v>32793</v>
      </c>
      <c r="J138" s="7">
        <v>43412</v>
      </c>
      <c r="K138" s="7">
        <v>296</v>
      </c>
      <c r="L138" s="4" t="s">
        <v>40</v>
      </c>
      <c r="M138" s="4" t="s">
        <v>37</v>
      </c>
      <c r="N138" s="4" t="s">
        <v>16</v>
      </c>
      <c r="O138" s="13">
        <f t="shared" si="2"/>
        <v>0.16610252187966945</v>
      </c>
    </row>
    <row r="139" spans="1:15">
      <c r="A139" s="4" t="s">
        <v>172</v>
      </c>
      <c r="B139" s="4" t="s">
        <v>22</v>
      </c>
      <c r="C139" s="111">
        <v>45624</v>
      </c>
      <c r="D139" s="4" t="s">
        <v>23</v>
      </c>
      <c r="E139" s="4" t="s">
        <v>24</v>
      </c>
      <c r="F139" s="7">
        <v>1131</v>
      </c>
      <c r="G139" s="7">
        <v>100</v>
      </c>
      <c r="H139" s="7">
        <v>116</v>
      </c>
      <c r="I139" s="7">
        <v>48437</v>
      </c>
      <c r="J139" s="7">
        <v>72704</v>
      </c>
      <c r="K139" s="7">
        <v>236</v>
      </c>
      <c r="L139" s="4" t="s">
        <v>19</v>
      </c>
      <c r="M139" s="4" t="s">
        <v>363</v>
      </c>
      <c r="N139" s="4" t="s">
        <v>16</v>
      </c>
      <c r="O139" s="13">
        <f t="shared" si="2"/>
        <v>2.7809319322005904E-2</v>
      </c>
    </row>
    <row r="140" spans="1:15">
      <c r="A140" s="4" t="s">
        <v>173</v>
      </c>
      <c r="B140" s="4" t="s">
        <v>22</v>
      </c>
      <c r="C140" s="111">
        <v>45725</v>
      </c>
      <c r="D140" s="4" t="s">
        <v>14</v>
      </c>
      <c r="E140" s="4" t="s">
        <v>46</v>
      </c>
      <c r="F140" s="7">
        <v>2754</v>
      </c>
      <c r="G140" s="7">
        <v>215</v>
      </c>
      <c r="H140" s="7">
        <v>264</v>
      </c>
      <c r="I140" s="7">
        <v>27762</v>
      </c>
      <c r="J140" s="7">
        <v>70203</v>
      </c>
      <c r="K140" s="7">
        <v>289</v>
      </c>
      <c r="L140" s="4" t="s">
        <v>37</v>
      </c>
      <c r="M140" s="4"/>
      <c r="N140" s="4" t="s">
        <v>16</v>
      </c>
      <c r="O140" s="13">
        <f t="shared" si="2"/>
        <v>0.11645414595490239</v>
      </c>
    </row>
    <row r="141" spans="1:15">
      <c r="A141" s="4" t="s">
        <v>174</v>
      </c>
      <c r="B141" s="4" t="s">
        <v>22</v>
      </c>
      <c r="C141" s="111">
        <v>45531</v>
      </c>
      <c r="D141" s="4" t="s">
        <v>23</v>
      </c>
      <c r="E141" s="4" t="s">
        <v>24</v>
      </c>
      <c r="F141" s="7">
        <v>1856</v>
      </c>
      <c r="G141" s="7">
        <v>357</v>
      </c>
      <c r="H141" s="7">
        <v>348</v>
      </c>
      <c r="I141" s="7">
        <v>29428</v>
      </c>
      <c r="J141" s="7">
        <v>70206</v>
      </c>
      <c r="K141" s="7">
        <v>236</v>
      </c>
      <c r="L141" s="4" t="s">
        <v>363</v>
      </c>
      <c r="M141" s="4" t="s">
        <v>37</v>
      </c>
      <c r="N141" s="4" t="s">
        <v>16</v>
      </c>
      <c r="O141" s="13">
        <f t="shared" si="2"/>
        <v>8.702596166915863E-2</v>
      </c>
    </row>
    <row r="142" spans="1:15">
      <c r="A142" s="4" t="s">
        <v>175</v>
      </c>
      <c r="B142" s="4" t="s">
        <v>28</v>
      </c>
      <c r="C142" s="111">
        <v>45566</v>
      </c>
      <c r="D142" s="4" t="s">
        <v>52</v>
      </c>
      <c r="E142" s="4" t="s">
        <v>18</v>
      </c>
      <c r="F142" s="7">
        <v>3543</v>
      </c>
      <c r="G142" s="7">
        <v>334</v>
      </c>
      <c r="H142" s="7">
        <v>218</v>
      </c>
      <c r="I142" s="7">
        <v>58007</v>
      </c>
      <c r="J142" s="7">
        <v>24792</v>
      </c>
      <c r="K142" s="7">
        <v>273</v>
      </c>
      <c r="L142" s="4" t="s">
        <v>19</v>
      </c>
      <c r="M142" s="4" t="s">
        <v>40</v>
      </c>
      <c r="N142" s="4" t="s">
        <v>53</v>
      </c>
      <c r="O142" s="13">
        <f t="shared" si="2"/>
        <v>7.0594928198320889E-2</v>
      </c>
    </row>
    <row r="143" spans="1:15">
      <c r="A143" s="4" t="s">
        <v>176</v>
      </c>
      <c r="B143" s="4" t="s">
        <v>13</v>
      </c>
      <c r="C143" s="111">
        <v>45647</v>
      </c>
      <c r="D143" s="4" t="s">
        <v>23</v>
      </c>
      <c r="E143" s="4" t="s">
        <v>24</v>
      </c>
      <c r="F143" s="7">
        <v>4563</v>
      </c>
      <c r="G143" s="7">
        <v>398</v>
      </c>
      <c r="H143" s="7">
        <v>163</v>
      </c>
      <c r="I143" s="7">
        <v>43679</v>
      </c>
      <c r="J143" s="7">
        <v>48760</v>
      </c>
      <c r="K143" s="7">
        <v>92</v>
      </c>
      <c r="L143" s="4" t="s">
        <v>37</v>
      </c>
      <c r="M143" s="4"/>
      <c r="N143" s="4" t="s">
        <v>50</v>
      </c>
      <c r="O143" s="13">
        <f t="shared" si="2"/>
        <v>0.11731037798484398</v>
      </c>
    </row>
    <row r="144" spans="1:15">
      <c r="A144" s="4" t="s">
        <v>177</v>
      </c>
      <c r="B144" s="4" t="s">
        <v>13</v>
      </c>
      <c r="C144" s="111">
        <v>45460</v>
      </c>
      <c r="D144" s="4" t="s">
        <v>14</v>
      </c>
      <c r="E144" s="4" t="s">
        <v>15</v>
      </c>
      <c r="F144" s="7">
        <v>4283</v>
      </c>
      <c r="G144" s="7">
        <v>471</v>
      </c>
      <c r="H144" s="7">
        <v>156</v>
      </c>
      <c r="I144" s="7">
        <v>53004</v>
      </c>
      <c r="J144" s="7">
        <v>25678</v>
      </c>
      <c r="K144" s="7">
        <v>105</v>
      </c>
      <c r="L144" s="4" t="s">
        <v>19</v>
      </c>
      <c r="M144" s="4"/>
      <c r="N144" s="4" t="s">
        <v>20</v>
      </c>
      <c r="O144" s="13">
        <f t="shared" si="2"/>
        <v>9.2634518149573616E-2</v>
      </c>
    </row>
    <row r="145" spans="1:15">
      <c r="A145" s="4" t="s">
        <v>178</v>
      </c>
      <c r="B145" s="4" t="s">
        <v>13</v>
      </c>
      <c r="C145" s="111">
        <v>45702</v>
      </c>
      <c r="D145" s="4" t="s">
        <v>14</v>
      </c>
      <c r="E145" s="4" t="s">
        <v>15</v>
      </c>
      <c r="F145" s="7">
        <v>2329</v>
      </c>
      <c r="G145" s="7">
        <v>373</v>
      </c>
      <c r="H145" s="7">
        <v>291</v>
      </c>
      <c r="I145" s="7">
        <v>49577</v>
      </c>
      <c r="J145" s="7">
        <v>28002</v>
      </c>
      <c r="K145" s="7">
        <v>82</v>
      </c>
      <c r="L145" s="4" t="s">
        <v>40</v>
      </c>
      <c r="M145" s="4" t="s">
        <v>37</v>
      </c>
      <c r="N145" s="4" t="s">
        <v>16</v>
      </c>
      <c r="O145" s="13">
        <f t="shared" si="2"/>
        <v>6.0370736430199488E-2</v>
      </c>
    </row>
    <row r="146" spans="1:15">
      <c r="A146" s="4" t="s">
        <v>179</v>
      </c>
      <c r="B146" s="4" t="s">
        <v>22</v>
      </c>
      <c r="C146" s="111">
        <v>45805</v>
      </c>
      <c r="D146" s="4" t="s">
        <v>23</v>
      </c>
      <c r="E146" s="4" t="s">
        <v>36</v>
      </c>
      <c r="F146" s="7">
        <v>4287</v>
      </c>
      <c r="G146" s="7">
        <v>273</v>
      </c>
      <c r="H146" s="7">
        <v>122</v>
      </c>
      <c r="I146" s="7">
        <v>40792</v>
      </c>
      <c r="J146" s="7">
        <v>23878</v>
      </c>
      <c r="K146" s="7">
        <v>277</v>
      </c>
      <c r="L146" s="4" t="s">
        <v>363</v>
      </c>
      <c r="M146" s="4" t="s">
        <v>37</v>
      </c>
      <c r="N146" s="4" t="s">
        <v>16</v>
      </c>
      <c r="O146" s="13">
        <f t="shared" si="2"/>
        <v>0.11477740733477153</v>
      </c>
    </row>
    <row r="147" spans="1:15">
      <c r="A147" s="4" t="s">
        <v>180</v>
      </c>
      <c r="B147" s="4" t="s">
        <v>13</v>
      </c>
      <c r="C147" s="111">
        <v>45799</v>
      </c>
      <c r="D147" s="4" t="s">
        <v>14</v>
      </c>
      <c r="E147" s="4" t="s">
        <v>15</v>
      </c>
      <c r="F147" s="7">
        <v>2633</v>
      </c>
      <c r="G147" s="7">
        <v>318</v>
      </c>
      <c r="H147" s="7">
        <v>380</v>
      </c>
      <c r="I147" s="7">
        <v>40869</v>
      </c>
      <c r="J147" s="7">
        <v>64474</v>
      </c>
      <c r="K147" s="7">
        <v>245</v>
      </c>
      <c r="L147" s="4" t="s">
        <v>19</v>
      </c>
      <c r="M147" s="4"/>
      <c r="N147" s="4" t="s">
        <v>20</v>
      </c>
      <c r="O147" s="13">
        <f t="shared" si="2"/>
        <v>8.1504318676747664E-2</v>
      </c>
    </row>
    <row r="148" spans="1:15">
      <c r="A148" s="4" t="s">
        <v>181</v>
      </c>
      <c r="B148" s="4" t="s">
        <v>22</v>
      </c>
      <c r="C148" s="111">
        <v>45312</v>
      </c>
      <c r="D148" s="4" t="s">
        <v>23</v>
      </c>
      <c r="E148" s="4" t="s">
        <v>15</v>
      </c>
      <c r="F148" s="7">
        <v>2383</v>
      </c>
      <c r="G148" s="7">
        <v>136</v>
      </c>
      <c r="H148" s="7">
        <v>302</v>
      </c>
      <c r="I148" s="7">
        <v>39187</v>
      </c>
      <c r="J148" s="7">
        <v>22133</v>
      </c>
      <c r="K148" s="7">
        <v>208</v>
      </c>
      <c r="L148" s="4" t="s">
        <v>363</v>
      </c>
      <c r="M148" s="4" t="s">
        <v>37</v>
      </c>
      <c r="N148" s="4" t="s">
        <v>16</v>
      </c>
      <c r="O148" s="13">
        <f t="shared" si="2"/>
        <v>7.1988159338556151E-2</v>
      </c>
    </row>
    <row r="149" spans="1:15">
      <c r="A149" s="4" t="s">
        <v>182</v>
      </c>
      <c r="B149" s="4" t="s">
        <v>22</v>
      </c>
      <c r="C149" s="111">
        <v>45696</v>
      </c>
      <c r="D149" s="4" t="s">
        <v>23</v>
      </c>
      <c r="E149" s="4" t="s">
        <v>46</v>
      </c>
      <c r="F149" s="7">
        <v>4752</v>
      </c>
      <c r="G149" s="7">
        <v>334</v>
      </c>
      <c r="H149" s="7">
        <v>56</v>
      </c>
      <c r="I149" s="7">
        <v>48017</v>
      </c>
      <c r="J149" s="7">
        <v>55534</v>
      </c>
      <c r="K149" s="7">
        <v>270</v>
      </c>
      <c r="L149" s="4" t="s">
        <v>19</v>
      </c>
      <c r="M149" s="4" t="s">
        <v>363</v>
      </c>
      <c r="N149" s="4" t="s">
        <v>16</v>
      </c>
      <c r="O149" s="13">
        <f t="shared" si="2"/>
        <v>0.10708707332819627</v>
      </c>
    </row>
    <row r="150" spans="1:15">
      <c r="A150" s="4" t="s">
        <v>183</v>
      </c>
      <c r="B150" s="4" t="s">
        <v>22</v>
      </c>
      <c r="C150" s="111">
        <v>45760</v>
      </c>
      <c r="D150" s="4" t="s">
        <v>14</v>
      </c>
      <c r="E150" s="4" t="s">
        <v>44</v>
      </c>
      <c r="F150" s="7">
        <v>3890</v>
      </c>
      <c r="G150" s="7">
        <v>408</v>
      </c>
      <c r="H150" s="7">
        <v>338</v>
      </c>
      <c r="I150" s="7">
        <v>56994</v>
      </c>
      <c r="J150" s="7">
        <v>32621</v>
      </c>
      <c r="K150" s="7">
        <v>286</v>
      </c>
      <c r="L150" s="4" t="s">
        <v>40</v>
      </c>
      <c r="M150" s="4"/>
      <c r="N150" s="4" t="s">
        <v>20</v>
      </c>
      <c r="O150" s="13">
        <f t="shared" si="2"/>
        <v>8.1341895638137346E-2</v>
      </c>
    </row>
    <row r="151" spans="1:15">
      <c r="A151" s="4" t="s">
        <v>184</v>
      </c>
      <c r="B151" s="4" t="s">
        <v>22</v>
      </c>
      <c r="C151" s="111">
        <v>45442</v>
      </c>
      <c r="D151" s="4" t="s">
        <v>23</v>
      </c>
      <c r="E151" s="4" t="s">
        <v>46</v>
      </c>
      <c r="F151" s="7">
        <v>2311</v>
      </c>
      <c r="G151" s="7">
        <v>207</v>
      </c>
      <c r="H151" s="7">
        <v>363</v>
      </c>
      <c r="I151" s="7">
        <v>30349</v>
      </c>
      <c r="J151" s="7">
        <v>32925</v>
      </c>
      <c r="K151" s="7">
        <v>88</v>
      </c>
      <c r="L151" s="4" t="s">
        <v>363</v>
      </c>
      <c r="M151" s="4" t="s">
        <v>37</v>
      </c>
      <c r="N151" s="4" t="s">
        <v>16</v>
      </c>
      <c r="O151" s="13">
        <f t="shared" si="2"/>
        <v>9.4928992718046723E-2</v>
      </c>
    </row>
    <row r="152" spans="1:15">
      <c r="A152" s="4" t="s">
        <v>185</v>
      </c>
      <c r="B152" s="4" t="s">
        <v>13</v>
      </c>
      <c r="C152" s="111">
        <v>45516</v>
      </c>
      <c r="D152" s="4" t="s">
        <v>23</v>
      </c>
      <c r="E152" s="4" t="s">
        <v>15</v>
      </c>
      <c r="F152" s="7">
        <v>2962</v>
      </c>
      <c r="G152" s="7">
        <v>400</v>
      </c>
      <c r="H152" s="7">
        <v>280</v>
      </c>
      <c r="I152" s="7">
        <v>52508</v>
      </c>
      <c r="J152" s="7">
        <v>58329</v>
      </c>
      <c r="K152" s="7">
        <v>219</v>
      </c>
      <c r="L152" s="4" t="s">
        <v>37</v>
      </c>
      <c r="M152" s="4"/>
      <c r="N152" s="4" t="s">
        <v>50</v>
      </c>
      <c r="O152" s="13">
        <f t="shared" si="2"/>
        <v>6.9360859297630834E-2</v>
      </c>
    </row>
    <row r="153" spans="1:15">
      <c r="A153" s="4" t="s">
        <v>186</v>
      </c>
      <c r="B153" s="4" t="s">
        <v>13</v>
      </c>
      <c r="C153" s="111">
        <v>45562</v>
      </c>
      <c r="D153" s="4" t="s">
        <v>14</v>
      </c>
      <c r="E153" s="4" t="s">
        <v>15</v>
      </c>
      <c r="F153" s="7">
        <v>3118</v>
      </c>
      <c r="G153" s="7">
        <v>116</v>
      </c>
      <c r="H153" s="7">
        <v>195</v>
      </c>
      <c r="I153" s="7">
        <v>37100</v>
      </c>
      <c r="J153" s="7">
        <v>62629</v>
      </c>
      <c r="K153" s="7">
        <v>272</v>
      </c>
      <c r="L153" s="4" t="s">
        <v>19</v>
      </c>
      <c r="M153" s="4"/>
      <c r="N153" s="4" t="s">
        <v>20</v>
      </c>
      <c r="O153" s="13">
        <f t="shared" si="2"/>
        <v>9.2425876010781671E-2</v>
      </c>
    </row>
    <row r="154" spans="1:15">
      <c r="A154" s="4" t="s">
        <v>187</v>
      </c>
      <c r="B154" s="4" t="s">
        <v>22</v>
      </c>
      <c r="C154" s="111">
        <v>45819</v>
      </c>
      <c r="D154" s="4" t="s">
        <v>23</v>
      </c>
      <c r="E154" s="4" t="s">
        <v>18</v>
      </c>
      <c r="F154" s="7">
        <v>3805</v>
      </c>
      <c r="G154" s="7">
        <v>453</v>
      </c>
      <c r="H154" s="7">
        <v>63</v>
      </c>
      <c r="I154" s="7">
        <v>52395</v>
      </c>
      <c r="J154" s="7">
        <v>72934</v>
      </c>
      <c r="K154" s="7">
        <v>87</v>
      </c>
      <c r="L154" s="4" t="s">
        <v>19</v>
      </c>
      <c r="M154" s="4" t="s">
        <v>363</v>
      </c>
      <c r="N154" s="4" t="s">
        <v>16</v>
      </c>
      <c r="O154" s="13">
        <f t="shared" si="2"/>
        <v>8.2469701307376658E-2</v>
      </c>
    </row>
    <row r="155" spans="1:15">
      <c r="A155" s="4" t="s">
        <v>188</v>
      </c>
      <c r="B155" s="4" t="s">
        <v>13</v>
      </c>
      <c r="C155" s="111">
        <v>45615</v>
      </c>
      <c r="D155" s="4" t="s">
        <v>14</v>
      </c>
      <c r="E155" s="4" t="s">
        <v>31</v>
      </c>
      <c r="F155" s="7">
        <v>2525</v>
      </c>
      <c r="G155" s="7">
        <v>272</v>
      </c>
      <c r="H155" s="7">
        <v>294</v>
      </c>
      <c r="I155" s="7">
        <v>51875</v>
      </c>
      <c r="J155" s="7">
        <v>24732</v>
      </c>
      <c r="K155" s="7">
        <v>92</v>
      </c>
      <c r="L155" s="4" t="s">
        <v>19</v>
      </c>
      <c r="M155" s="4"/>
      <c r="N155" s="4" t="s">
        <v>20</v>
      </c>
      <c r="O155" s="13">
        <f t="shared" si="2"/>
        <v>5.9585542168674697E-2</v>
      </c>
    </row>
    <row r="156" spans="1:15">
      <c r="A156" s="4" t="s">
        <v>189</v>
      </c>
      <c r="B156" s="4" t="s">
        <v>13</v>
      </c>
      <c r="C156" s="111">
        <v>45407</v>
      </c>
      <c r="D156" s="4" t="s">
        <v>14</v>
      </c>
      <c r="E156" s="4" t="s">
        <v>29</v>
      </c>
      <c r="F156" s="7">
        <v>3563</v>
      </c>
      <c r="G156" s="7">
        <v>483</v>
      </c>
      <c r="H156" s="7">
        <v>227</v>
      </c>
      <c r="I156" s="7">
        <v>41085</v>
      </c>
      <c r="J156" s="7">
        <v>26393</v>
      </c>
      <c r="K156" s="7">
        <v>236</v>
      </c>
      <c r="L156" s="4" t="s">
        <v>40</v>
      </c>
      <c r="M156" s="4" t="s">
        <v>37</v>
      </c>
      <c r="N156" s="4" t="s">
        <v>16</v>
      </c>
      <c r="O156" s="13">
        <f t="shared" si="2"/>
        <v>0.10400389436534015</v>
      </c>
    </row>
    <row r="157" spans="1:15">
      <c r="A157" s="4" t="s">
        <v>190</v>
      </c>
      <c r="B157" s="4" t="s">
        <v>28</v>
      </c>
      <c r="C157" s="111">
        <v>45538</v>
      </c>
      <c r="D157" s="4" t="s">
        <v>52</v>
      </c>
      <c r="E157" s="4" t="s">
        <v>31</v>
      </c>
      <c r="F157" s="7">
        <v>1437</v>
      </c>
      <c r="G157" s="7">
        <v>494</v>
      </c>
      <c r="H157" s="7">
        <v>129</v>
      </c>
      <c r="I157" s="7">
        <v>53048</v>
      </c>
      <c r="J157" s="7">
        <v>44090</v>
      </c>
      <c r="K157" s="7">
        <v>230</v>
      </c>
      <c r="L157" s="4" t="s">
        <v>19</v>
      </c>
      <c r="M157" s="4" t="s">
        <v>40</v>
      </c>
      <c r="N157" s="4" t="s">
        <v>53</v>
      </c>
      <c r="O157" s="13">
        <f t="shared" si="2"/>
        <v>3.8832755240536872E-2</v>
      </c>
    </row>
    <row r="158" spans="1:15">
      <c r="A158" s="4" t="s">
        <v>191</v>
      </c>
      <c r="B158" s="4" t="s">
        <v>28</v>
      </c>
      <c r="C158" s="111">
        <v>45718</v>
      </c>
      <c r="D158" s="4" t="s">
        <v>14</v>
      </c>
      <c r="E158" s="4" t="s">
        <v>44</v>
      </c>
      <c r="F158" s="7">
        <v>4425</v>
      </c>
      <c r="G158" s="7">
        <v>185</v>
      </c>
      <c r="H158" s="7">
        <v>162</v>
      </c>
      <c r="I158" s="7">
        <v>24610</v>
      </c>
      <c r="J158" s="7">
        <v>21342</v>
      </c>
      <c r="K158" s="7">
        <v>158</v>
      </c>
      <c r="L158" s="4" t="s">
        <v>19</v>
      </c>
      <c r="M158" s="4" t="s">
        <v>364</v>
      </c>
      <c r="N158" s="4" t="s">
        <v>20</v>
      </c>
      <c r="O158" s="13">
        <f t="shared" si="2"/>
        <v>0.19390491670052823</v>
      </c>
    </row>
    <row r="159" spans="1:15">
      <c r="A159" s="4" t="s">
        <v>192</v>
      </c>
      <c r="B159" s="4" t="s">
        <v>22</v>
      </c>
      <c r="C159" s="111">
        <v>45737</v>
      </c>
      <c r="D159" s="4" t="s">
        <v>23</v>
      </c>
      <c r="E159" s="4" t="s">
        <v>24</v>
      </c>
      <c r="F159" s="7">
        <v>4609</v>
      </c>
      <c r="G159" s="7">
        <v>427</v>
      </c>
      <c r="H159" s="7">
        <v>395</v>
      </c>
      <c r="I159" s="7">
        <v>33698</v>
      </c>
      <c r="J159" s="7">
        <v>29259</v>
      </c>
      <c r="K159" s="7">
        <v>216</v>
      </c>
      <c r="L159" s="4" t="s">
        <v>19</v>
      </c>
      <c r="M159" s="4" t="s">
        <v>363</v>
      </c>
      <c r="N159" s="4" t="s">
        <v>16</v>
      </c>
      <c r="O159" s="13">
        <f t="shared" si="2"/>
        <v>0.16116683482699271</v>
      </c>
    </row>
    <row r="160" spans="1:15">
      <c r="A160" s="4" t="s">
        <v>193</v>
      </c>
      <c r="B160" s="4" t="s">
        <v>13</v>
      </c>
      <c r="C160" s="111">
        <v>45394</v>
      </c>
      <c r="D160" s="4" t="s">
        <v>23</v>
      </c>
      <c r="E160" s="4" t="s">
        <v>33</v>
      </c>
      <c r="F160" s="7">
        <v>1558</v>
      </c>
      <c r="G160" s="7">
        <v>352</v>
      </c>
      <c r="H160" s="7">
        <v>202</v>
      </c>
      <c r="I160" s="7">
        <v>25405</v>
      </c>
      <c r="J160" s="7">
        <v>69941</v>
      </c>
      <c r="K160" s="7">
        <v>219</v>
      </c>
      <c r="L160" s="4" t="s">
        <v>37</v>
      </c>
      <c r="M160" s="4"/>
      <c r="N160" s="4" t="s">
        <v>50</v>
      </c>
      <c r="O160" s="13">
        <f t="shared" si="2"/>
        <v>8.3133241487896081E-2</v>
      </c>
    </row>
    <row r="161" spans="1:15">
      <c r="A161" s="4" t="s">
        <v>194</v>
      </c>
      <c r="B161" s="4" t="s">
        <v>28</v>
      </c>
      <c r="C161" s="111">
        <v>45330</v>
      </c>
      <c r="D161" s="4" t="s">
        <v>52</v>
      </c>
      <c r="E161" s="4" t="s">
        <v>36</v>
      </c>
      <c r="F161" s="7">
        <v>1889</v>
      </c>
      <c r="G161" s="7">
        <v>298</v>
      </c>
      <c r="H161" s="7">
        <v>122</v>
      </c>
      <c r="I161" s="7">
        <v>46225</v>
      </c>
      <c r="J161" s="7">
        <v>74305</v>
      </c>
      <c r="K161" s="7">
        <v>293</v>
      </c>
      <c r="L161" s="4" t="s">
        <v>19</v>
      </c>
      <c r="M161" s="4" t="s">
        <v>40</v>
      </c>
      <c r="N161" s="4" t="s">
        <v>53</v>
      </c>
      <c r="O161" s="13">
        <f t="shared" si="2"/>
        <v>4.9951325040562468E-2</v>
      </c>
    </row>
    <row r="162" spans="1:15">
      <c r="A162" s="4" t="s">
        <v>195</v>
      </c>
      <c r="B162" s="4" t="s">
        <v>13</v>
      </c>
      <c r="C162" s="111">
        <v>45803</v>
      </c>
      <c r="D162" s="4" t="s">
        <v>14</v>
      </c>
      <c r="E162" s="4" t="s">
        <v>15</v>
      </c>
      <c r="F162" s="7">
        <v>3086</v>
      </c>
      <c r="G162" s="7">
        <v>148</v>
      </c>
      <c r="H162" s="7">
        <v>310</v>
      </c>
      <c r="I162" s="7">
        <v>22824</v>
      </c>
      <c r="J162" s="7">
        <v>58103</v>
      </c>
      <c r="K162" s="7">
        <v>275</v>
      </c>
      <c r="L162" s="4" t="s">
        <v>19</v>
      </c>
      <c r="M162" s="4"/>
      <c r="N162" s="4" t="s">
        <v>20</v>
      </c>
      <c r="O162" s="13">
        <f t="shared" si="2"/>
        <v>0.1552751489660007</v>
      </c>
    </row>
    <row r="163" spans="1:15">
      <c r="A163" s="4" t="s">
        <v>196</v>
      </c>
      <c r="B163" s="4" t="s">
        <v>13</v>
      </c>
      <c r="C163" s="111">
        <v>45610</v>
      </c>
      <c r="D163" s="4" t="s">
        <v>14</v>
      </c>
      <c r="E163" s="4" t="s">
        <v>29</v>
      </c>
      <c r="F163" s="7">
        <v>2422</v>
      </c>
      <c r="G163" s="7">
        <v>318</v>
      </c>
      <c r="H163" s="7">
        <v>118</v>
      </c>
      <c r="I163" s="7">
        <v>25386</v>
      </c>
      <c r="J163" s="7">
        <v>20873</v>
      </c>
      <c r="K163" s="7">
        <v>100</v>
      </c>
      <c r="L163" s="4" t="s">
        <v>40</v>
      </c>
      <c r="M163" s="4" t="s">
        <v>37</v>
      </c>
      <c r="N163" s="4" t="s">
        <v>16</v>
      </c>
      <c r="O163" s="13">
        <f t="shared" si="2"/>
        <v>0.11258173796580792</v>
      </c>
    </row>
    <row r="164" spans="1:15">
      <c r="A164" s="4" t="s">
        <v>197</v>
      </c>
      <c r="B164" s="4" t="s">
        <v>28</v>
      </c>
      <c r="C164" s="111">
        <v>45513</v>
      </c>
      <c r="D164" s="4" t="s">
        <v>52</v>
      </c>
      <c r="E164" s="4" t="s">
        <v>44</v>
      </c>
      <c r="F164" s="7">
        <v>3414</v>
      </c>
      <c r="G164" s="7">
        <v>154</v>
      </c>
      <c r="H164" s="7">
        <v>204</v>
      </c>
      <c r="I164" s="7">
        <v>34146</v>
      </c>
      <c r="J164" s="7">
        <v>44633</v>
      </c>
      <c r="K164" s="7">
        <v>256</v>
      </c>
      <c r="L164" s="4" t="s">
        <v>19</v>
      </c>
      <c r="M164" s="4" t="s">
        <v>40</v>
      </c>
      <c r="N164" s="4" t="s">
        <v>53</v>
      </c>
      <c r="O164" s="13">
        <f t="shared" si="2"/>
        <v>0.11046681895390383</v>
      </c>
    </row>
    <row r="165" spans="1:15">
      <c r="A165" s="4" t="s">
        <v>198</v>
      </c>
      <c r="B165" s="4" t="s">
        <v>13</v>
      </c>
      <c r="C165" s="111">
        <v>45835</v>
      </c>
      <c r="D165" s="4" t="s">
        <v>23</v>
      </c>
      <c r="E165" s="4" t="s">
        <v>31</v>
      </c>
      <c r="F165" s="7">
        <v>1342</v>
      </c>
      <c r="G165" s="7">
        <v>332</v>
      </c>
      <c r="H165" s="7">
        <v>163</v>
      </c>
      <c r="I165" s="7">
        <v>51712</v>
      </c>
      <c r="J165" s="7">
        <v>57922</v>
      </c>
      <c r="K165" s="7">
        <v>168</v>
      </c>
      <c r="L165" s="4" t="s">
        <v>37</v>
      </c>
      <c r="M165" s="4"/>
      <c r="N165" s="4" t="s">
        <v>50</v>
      </c>
      <c r="O165" s="13">
        <f t="shared" si="2"/>
        <v>3.5523669554455448E-2</v>
      </c>
    </row>
    <row r="166" spans="1:15">
      <c r="A166" s="4" t="s">
        <v>199</v>
      </c>
      <c r="B166" s="4" t="s">
        <v>13</v>
      </c>
      <c r="C166" s="111">
        <v>45420</v>
      </c>
      <c r="D166" s="4" t="s">
        <v>23</v>
      </c>
      <c r="E166" s="4" t="s">
        <v>29</v>
      </c>
      <c r="F166" s="7">
        <v>2414</v>
      </c>
      <c r="G166" s="7">
        <v>220</v>
      </c>
      <c r="H166" s="7">
        <v>280</v>
      </c>
      <c r="I166" s="7">
        <v>27355</v>
      </c>
      <c r="J166" s="7">
        <v>50562</v>
      </c>
      <c r="K166" s="7">
        <v>258</v>
      </c>
      <c r="L166" s="4" t="s">
        <v>37</v>
      </c>
      <c r="M166" s="4"/>
      <c r="N166" s="4" t="s">
        <v>50</v>
      </c>
      <c r="O166" s="13">
        <f t="shared" si="2"/>
        <v>0.10652531529884847</v>
      </c>
    </row>
    <row r="167" spans="1:15">
      <c r="A167" s="4" t="s">
        <v>200</v>
      </c>
      <c r="B167" s="4" t="s">
        <v>13</v>
      </c>
      <c r="C167" s="111">
        <v>45387</v>
      </c>
      <c r="D167" s="4" t="s">
        <v>14</v>
      </c>
      <c r="E167" s="4" t="s">
        <v>24</v>
      </c>
      <c r="F167" s="7">
        <v>4383</v>
      </c>
      <c r="G167" s="7">
        <v>352</v>
      </c>
      <c r="H167" s="7">
        <v>176</v>
      </c>
      <c r="I167" s="7">
        <v>53239</v>
      </c>
      <c r="J167" s="7">
        <v>34168</v>
      </c>
      <c r="K167" s="7">
        <v>288</v>
      </c>
      <c r="L167" s="4" t="s">
        <v>19</v>
      </c>
      <c r="M167" s="4"/>
      <c r="N167" s="4" t="s">
        <v>20</v>
      </c>
      <c r="O167" s="13">
        <f t="shared" si="2"/>
        <v>9.2244407295403744E-2</v>
      </c>
    </row>
    <row r="168" spans="1:15">
      <c r="A168" s="4" t="s">
        <v>201</v>
      </c>
      <c r="B168" s="4" t="s">
        <v>28</v>
      </c>
      <c r="C168" s="111">
        <v>45684</v>
      </c>
      <c r="D168" s="4" t="s">
        <v>14</v>
      </c>
      <c r="E168" s="4" t="s">
        <v>26</v>
      </c>
      <c r="F168" s="7">
        <v>4294</v>
      </c>
      <c r="G168" s="7">
        <v>423</v>
      </c>
      <c r="H168" s="7">
        <v>93</v>
      </c>
      <c r="I168" s="7">
        <v>29828</v>
      </c>
      <c r="J168" s="7">
        <v>73144</v>
      </c>
      <c r="K168" s="7">
        <v>298</v>
      </c>
      <c r="L168" s="4" t="s">
        <v>19</v>
      </c>
      <c r="M168" s="4" t="s">
        <v>364</v>
      </c>
      <c r="N168" s="4" t="s">
        <v>20</v>
      </c>
      <c r="O168" s="13">
        <f t="shared" si="2"/>
        <v>0.1612578785034196</v>
      </c>
    </row>
    <row r="169" spans="1:15">
      <c r="A169" s="4" t="s">
        <v>202</v>
      </c>
      <c r="B169" s="4" t="s">
        <v>13</v>
      </c>
      <c r="C169" s="111">
        <v>45385</v>
      </c>
      <c r="D169" s="4" t="s">
        <v>14</v>
      </c>
      <c r="E169" s="4" t="s">
        <v>36</v>
      </c>
      <c r="F169" s="7">
        <v>2762</v>
      </c>
      <c r="G169" s="7">
        <v>339</v>
      </c>
      <c r="H169" s="7">
        <v>323</v>
      </c>
      <c r="I169" s="7">
        <v>33757</v>
      </c>
      <c r="J169" s="7">
        <v>68511</v>
      </c>
      <c r="K169" s="7">
        <v>121</v>
      </c>
      <c r="L169" s="4" t="s">
        <v>40</v>
      </c>
      <c r="M169" s="4" t="s">
        <v>37</v>
      </c>
      <c r="N169" s="4" t="s">
        <v>16</v>
      </c>
      <c r="O169" s="13">
        <f t="shared" si="2"/>
        <v>0.10143081434961637</v>
      </c>
    </row>
    <row r="170" spans="1:15">
      <c r="A170" s="4" t="s">
        <v>203</v>
      </c>
      <c r="B170" s="4" t="s">
        <v>28</v>
      </c>
      <c r="C170" s="111">
        <v>45660</v>
      </c>
      <c r="D170" s="4" t="s">
        <v>14</v>
      </c>
      <c r="E170" s="4" t="s">
        <v>24</v>
      </c>
      <c r="F170" s="7">
        <v>3782</v>
      </c>
      <c r="G170" s="7">
        <v>484</v>
      </c>
      <c r="H170" s="7">
        <v>144</v>
      </c>
      <c r="I170" s="7">
        <v>52172</v>
      </c>
      <c r="J170" s="7">
        <v>59386</v>
      </c>
      <c r="K170" s="7">
        <v>175</v>
      </c>
      <c r="L170" s="4" t="s">
        <v>19</v>
      </c>
      <c r="M170" s="4" t="s">
        <v>364</v>
      </c>
      <c r="N170" s="4" t="s">
        <v>20</v>
      </c>
      <c r="O170" s="13">
        <f t="shared" si="2"/>
        <v>8.4528099363643333E-2</v>
      </c>
    </row>
    <row r="171" spans="1:15">
      <c r="A171" s="4" t="s">
        <v>204</v>
      </c>
      <c r="B171" s="4" t="s">
        <v>22</v>
      </c>
      <c r="C171" s="111">
        <v>45619</v>
      </c>
      <c r="D171" s="4" t="s">
        <v>14</v>
      </c>
      <c r="E171" s="4" t="s">
        <v>24</v>
      </c>
      <c r="F171" s="7">
        <v>4318</v>
      </c>
      <c r="G171" s="7">
        <v>371</v>
      </c>
      <c r="H171" s="7">
        <v>329</v>
      </c>
      <c r="I171" s="7">
        <v>32347</v>
      </c>
      <c r="J171" s="7">
        <v>68956</v>
      </c>
      <c r="K171" s="7">
        <v>259</v>
      </c>
      <c r="L171" s="4" t="s">
        <v>40</v>
      </c>
      <c r="M171" s="4"/>
      <c r="N171" s="4" t="s">
        <v>20</v>
      </c>
      <c r="O171" s="13">
        <f t="shared" si="2"/>
        <v>0.15513030574705536</v>
      </c>
    </row>
    <row r="172" spans="1:15">
      <c r="A172" s="4" t="s">
        <v>205</v>
      </c>
      <c r="B172" s="4" t="s">
        <v>13</v>
      </c>
      <c r="C172" s="111">
        <v>45536</v>
      </c>
      <c r="D172" s="4" t="s">
        <v>23</v>
      </c>
      <c r="E172" s="4" t="s">
        <v>26</v>
      </c>
      <c r="F172" s="7">
        <v>2335</v>
      </c>
      <c r="G172" s="7">
        <v>150</v>
      </c>
      <c r="H172" s="7">
        <v>75</v>
      </c>
      <c r="I172" s="7">
        <v>26114</v>
      </c>
      <c r="J172" s="7">
        <v>57549</v>
      </c>
      <c r="K172" s="7">
        <v>135</v>
      </c>
      <c r="L172" s="4" t="s">
        <v>37</v>
      </c>
      <c r="M172" s="4"/>
      <c r="N172" s="4" t="s">
        <v>50</v>
      </c>
      <c r="O172" s="13">
        <f t="shared" si="2"/>
        <v>9.8031707130274953E-2</v>
      </c>
    </row>
    <row r="173" spans="1:15">
      <c r="A173" s="4" t="s">
        <v>206</v>
      </c>
      <c r="B173" s="4" t="s">
        <v>28</v>
      </c>
      <c r="C173" s="111">
        <v>45400</v>
      </c>
      <c r="D173" s="4" t="s">
        <v>14</v>
      </c>
      <c r="E173" s="4" t="s">
        <v>18</v>
      </c>
      <c r="F173" s="7">
        <v>4023</v>
      </c>
      <c r="G173" s="7">
        <v>293</v>
      </c>
      <c r="H173" s="7">
        <v>91</v>
      </c>
      <c r="I173" s="7">
        <v>26795</v>
      </c>
      <c r="J173" s="7">
        <v>28924</v>
      </c>
      <c r="K173" s="7">
        <v>278</v>
      </c>
      <c r="L173" s="4" t="s">
        <v>19</v>
      </c>
      <c r="M173" s="4" t="s">
        <v>364</v>
      </c>
      <c r="N173" s="4" t="s">
        <v>20</v>
      </c>
      <c r="O173" s="13">
        <f t="shared" si="2"/>
        <v>0.16447098339242397</v>
      </c>
    </row>
    <row r="174" spans="1:15">
      <c r="A174" s="4" t="s">
        <v>207</v>
      </c>
      <c r="B174" s="4" t="s">
        <v>13</v>
      </c>
      <c r="C174" s="111">
        <v>45447</v>
      </c>
      <c r="D174" s="4" t="s">
        <v>14</v>
      </c>
      <c r="E174" s="4" t="s">
        <v>33</v>
      </c>
      <c r="F174" s="7">
        <v>3948</v>
      </c>
      <c r="G174" s="7">
        <v>151</v>
      </c>
      <c r="H174" s="7">
        <v>249</v>
      </c>
      <c r="I174" s="7">
        <v>43147</v>
      </c>
      <c r="J174" s="7">
        <v>63136</v>
      </c>
      <c r="K174" s="7">
        <v>230</v>
      </c>
      <c r="L174" s="4" t="s">
        <v>19</v>
      </c>
      <c r="M174" s="4"/>
      <c r="N174" s="4" t="s">
        <v>20</v>
      </c>
      <c r="O174" s="13">
        <f t="shared" si="2"/>
        <v>0.10077178019329269</v>
      </c>
    </row>
    <row r="175" spans="1:15">
      <c r="A175" s="4" t="s">
        <v>208</v>
      </c>
      <c r="B175" s="4" t="s">
        <v>28</v>
      </c>
      <c r="C175" s="111">
        <v>45749</v>
      </c>
      <c r="D175" s="4" t="s">
        <v>14</v>
      </c>
      <c r="E175" s="4" t="s">
        <v>26</v>
      </c>
      <c r="F175" s="7">
        <v>4598</v>
      </c>
      <c r="G175" s="7">
        <v>455</v>
      </c>
      <c r="H175" s="7">
        <v>378</v>
      </c>
      <c r="I175" s="7">
        <v>52952</v>
      </c>
      <c r="J175" s="7">
        <v>58504</v>
      </c>
      <c r="K175" s="7">
        <v>269</v>
      </c>
      <c r="L175" s="4" t="s">
        <v>19</v>
      </c>
      <c r="M175" s="4" t="s">
        <v>364</v>
      </c>
      <c r="N175" s="4" t="s">
        <v>20</v>
      </c>
      <c r="O175" s="13">
        <f t="shared" si="2"/>
        <v>0.10256458679558846</v>
      </c>
    </row>
    <row r="176" spans="1:15">
      <c r="A176" s="4" t="s">
        <v>209</v>
      </c>
      <c r="B176" s="4" t="s">
        <v>22</v>
      </c>
      <c r="C176" s="111">
        <v>45748</v>
      </c>
      <c r="D176" s="4" t="s">
        <v>23</v>
      </c>
      <c r="E176" s="4" t="s">
        <v>29</v>
      </c>
      <c r="F176" s="7">
        <v>2665</v>
      </c>
      <c r="G176" s="7">
        <v>143</v>
      </c>
      <c r="H176" s="7">
        <v>315</v>
      </c>
      <c r="I176" s="7">
        <v>54808</v>
      </c>
      <c r="J176" s="7">
        <v>29818</v>
      </c>
      <c r="K176" s="7">
        <v>98</v>
      </c>
      <c r="L176" s="4" t="s">
        <v>19</v>
      </c>
      <c r="M176" s="4" t="s">
        <v>363</v>
      </c>
      <c r="N176" s="4" t="s">
        <v>16</v>
      </c>
      <c r="O176" s="13">
        <f t="shared" si="2"/>
        <v>5.6980732739746021E-2</v>
      </c>
    </row>
    <row r="177" spans="1:15">
      <c r="A177" s="4" t="s">
        <v>210</v>
      </c>
      <c r="B177" s="4" t="s">
        <v>13</v>
      </c>
      <c r="C177" s="111">
        <v>45475</v>
      </c>
      <c r="D177" s="4" t="s">
        <v>14</v>
      </c>
      <c r="E177" s="4" t="s">
        <v>36</v>
      </c>
      <c r="F177" s="7">
        <v>3469</v>
      </c>
      <c r="G177" s="7">
        <v>371</v>
      </c>
      <c r="H177" s="7">
        <v>76</v>
      </c>
      <c r="I177" s="7">
        <v>46493</v>
      </c>
      <c r="J177" s="7">
        <v>26906</v>
      </c>
      <c r="K177" s="7">
        <v>150</v>
      </c>
      <c r="L177" s="4" t="s">
        <v>40</v>
      </c>
      <c r="M177" s="4" t="s">
        <v>37</v>
      </c>
      <c r="N177" s="4" t="s">
        <v>16</v>
      </c>
      <c r="O177" s="13">
        <f t="shared" si="2"/>
        <v>8.4227733207149463E-2</v>
      </c>
    </row>
    <row r="178" spans="1:15">
      <c r="A178" s="4" t="s">
        <v>211</v>
      </c>
      <c r="B178" s="4" t="s">
        <v>22</v>
      </c>
      <c r="C178" s="111">
        <v>45606</v>
      </c>
      <c r="D178" s="4" t="s">
        <v>14</v>
      </c>
      <c r="E178" s="4" t="s">
        <v>18</v>
      </c>
      <c r="F178" s="7">
        <v>4823</v>
      </c>
      <c r="G178" s="7">
        <v>489</v>
      </c>
      <c r="H178" s="7">
        <v>302</v>
      </c>
      <c r="I178" s="7">
        <v>32470</v>
      </c>
      <c r="J178" s="7">
        <v>31861</v>
      </c>
      <c r="K178" s="7">
        <v>178</v>
      </c>
      <c r="L178" s="4" t="s">
        <v>40</v>
      </c>
      <c r="M178" s="4"/>
      <c r="N178" s="4" t="s">
        <v>20</v>
      </c>
      <c r="O178" s="13">
        <f t="shared" si="2"/>
        <v>0.1728980597474592</v>
      </c>
    </row>
    <row r="179" spans="1:15">
      <c r="A179" s="4" t="s">
        <v>212</v>
      </c>
      <c r="B179" s="4" t="s">
        <v>13</v>
      </c>
      <c r="C179" s="111">
        <v>45640</v>
      </c>
      <c r="D179" s="4" t="s">
        <v>23</v>
      </c>
      <c r="E179" s="4" t="s">
        <v>44</v>
      </c>
      <c r="F179" s="7">
        <v>3812</v>
      </c>
      <c r="G179" s="7">
        <v>321</v>
      </c>
      <c r="H179" s="7">
        <v>289</v>
      </c>
      <c r="I179" s="7">
        <v>59838</v>
      </c>
      <c r="J179" s="7">
        <v>36337</v>
      </c>
      <c r="K179" s="7">
        <v>161</v>
      </c>
      <c r="L179" s="4" t="s">
        <v>37</v>
      </c>
      <c r="M179" s="4"/>
      <c r="N179" s="4" t="s">
        <v>50</v>
      </c>
      <c r="O179" s="13">
        <f t="shared" si="2"/>
        <v>7.3899528727564417E-2</v>
      </c>
    </row>
    <row r="180" spans="1:15">
      <c r="A180" s="4" t="s">
        <v>213</v>
      </c>
      <c r="B180" s="4" t="s">
        <v>22</v>
      </c>
      <c r="C180" s="111">
        <v>45615</v>
      </c>
      <c r="D180" s="4" t="s">
        <v>14</v>
      </c>
      <c r="E180" s="4" t="s">
        <v>18</v>
      </c>
      <c r="F180" s="7">
        <v>2387</v>
      </c>
      <c r="G180" s="7">
        <v>353</v>
      </c>
      <c r="H180" s="7">
        <v>78</v>
      </c>
      <c r="I180" s="7">
        <v>39745</v>
      </c>
      <c r="J180" s="7">
        <v>69226</v>
      </c>
      <c r="K180" s="7">
        <v>208</v>
      </c>
      <c r="L180" s="4" t="s">
        <v>40</v>
      </c>
      <c r="M180" s="4"/>
      <c r="N180" s="4" t="s">
        <v>20</v>
      </c>
      <c r="O180" s="13">
        <f t="shared" si="2"/>
        <v>7.090200025160398E-2</v>
      </c>
    </row>
    <row r="181" spans="1:15">
      <c r="A181" s="4" t="s">
        <v>214</v>
      </c>
      <c r="B181" s="4" t="s">
        <v>22</v>
      </c>
      <c r="C181" s="111">
        <v>45777</v>
      </c>
      <c r="D181" s="4" t="s">
        <v>23</v>
      </c>
      <c r="E181" s="4" t="s">
        <v>26</v>
      </c>
      <c r="F181" s="7">
        <v>3929</v>
      </c>
      <c r="G181" s="7">
        <v>275</v>
      </c>
      <c r="H181" s="7">
        <v>330</v>
      </c>
      <c r="I181" s="7">
        <v>58329</v>
      </c>
      <c r="J181" s="7">
        <v>33196</v>
      </c>
      <c r="K181" s="7">
        <v>85</v>
      </c>
      <c r="L181" s="4" t="s">
        <v>363</v>
      </c>
      <c r="M181" s="4" t="s">
        <v>37</v>
      </c>
      <c r="N181" s="4" t="s">
        <v>16</v>
      </c>
      <c r="O181" s="13">
        <f t="shared" si="2"/>
        <v>7.7731488624869283E-2</v>
      </c>
    </row>
    <row r="182" spans="1:15">
      <c r="A182" s="4" t="s">
        <v>215</v>
      </c>
      <c r="B182" s="4" t="s">
        <v>22</v>
      </c>
      <c r="C182" s="111">
        <v>45370</v>
      </c>
      <c r="D182" s="4" t="s">
        <v>14</v>
      </c>
      <c r="E182" s="4" t="s">
        <v>44</v>
      </c>
      <c r="F182" s="7">
        <v>2191</v>
      </c>
      <c r="G182" s="7">
        <v>288</v>
      </c>
      <c r="H182" s="7">
        <v>83</v>
      </c>
      <c r="I182" s="7">
        <v>59606</v>
      </c>
      <c r="J182" s="7">
        <v>24765</v>
      </c>
      <c r="K182" s="7">
        <v>281</v>
      </c>
      <c r="L182" s="4" t="s">
        <v>40</v>
      </c>
      <c r="M182" s="4"/>
      <c r="N182" s="4" t="s">
        <v>20</v>
      </c>
      <c r="O182" s="13">
        <f t="shared" si="2"/>
        <v>4.2982250109049422E-2</v>
      </c>
    </row>
    <row r="183" spans="1:15">
      <c r="A183" s="4" t="s">
        <v>216</v>
      </c>
      <c r="B183" s="4" t="s">
        <v>13</v>
      </c>
      <c r="C183" s="111">
        <v>45370</v>
      </c>
      <c r="D183" s="4" t="s">
        <v>14</v>
      </c>
      <c r="E183" s="4" t="s">
        <v>44</v>
      </c>
      <c r="F183" s="7">
        <v>2878</v>
      </c>
      <c r="G183" s="7">
        <v>278</v>
      </c>
      <c r="H183" s="7">
        <v>255</v>
      </c>
      <c r="I183" s="7">
        <v>47235</v>
      </c>
      <c r="J183" s="7">
        <v>57922</v>
      </c>
      <c r="K183" s="7">
        <v>112</v>
      </c>
      <c r="L183" s="4" t="s">
        <v>40</v>
      </c>
      <c r="M183" s="4" t="s">
        <v>37</v>
      </c>
      <c r="N183" s="4" t="s">
        <v>16</v>
      </c>
      <c r="O183" s="13">
        <f t="shared" si="2"/>
        <v>7.2213401079707848E-2</v>
      </c>
    </row>
    <row r="184" spans="1:15">
      <c r="A184" s="4" t="s">
        <v>217</v>
      </c>
      <c r="B184" s="4" t="s">
        <v>22</v>
      </c>
      <c r="C184" s="111">
        <v>45496</v>
      </c>
      <c r="D184" s="4" t="s">
        <v>14</v>
      </c>
      <c r="E184" s="4" t="s">
        <v>36</v>
      </c>
      <c r="F184" s="7">
        <v>3204</v>
      </c>
      <c r="G184" s="7">
        <v>398</v>
      </c>
      <c r="H184" s="7">
        <v>85</v>
      </c>
      <c r="I184" s="7">
        <v>22020</v>
      </c>
      <c r="J184" s="7">
        <v>58353</v>
      </c>
      <c r="K184" s="7">
        <v>286</v>
      </c>
      <c r="L184" s="4" t="s">
        <v>40</v>
      </c>
      <c r="M184" s="4"/>
      <c r="N184" s="4" t="s">
        <v>20</v>
      </c>
      <c r="O184" s="13">
        <f t="shared" si="2"/>
        <v>0.16743869209809265</v>
      </c>
    </row>
    <row r="185" spans="1:15">
      <c r="A185" s="4" t="s">
        <v>218</v>
      </c>
      <c r="B185" s="4" t="s">
        <v>22</v>
      </c>
      <c r="C185" s="111">
        <v>45486</v>
      </c>
      <c r="D185" s="4" t="s">
        <v>23</v>
      </c>
      <c r="E185" s="4" t="s">
        <v>33</v>
      </c>
      <c r="F185" s="7">
        <v>2408</v>
      </c>
      <c r="G185" s="7">
        <v>323</v>
      </c>
      <c r="H185" s="7">
        <v>251</v>
      </c>
      <c r="I185" s="7">
        <v>47599</v>
      </c>
      <c r="J185" s="7">
        <v>35543</v>
      </c>
      <c r="K185" s="7">
        <v>287</v>
      </c>
      <c r="L185" s="4" t="s">
        <v>363</v>
      </c>
      <c r="M185" s="4" t="s">
        <v>37</v>
      </c>
      <c r="N185" s="4" t="s">
        <v>16</v>
      </c>
      <c r="O185" s="13">
        <f t="shared" si="2"/>
        <v>6.2648374965860634E-2</v>
      </c>
    </row>
    <row r="186" spans="1:15">
      <c r="A186" s="4" t="s">
        <v>219</v>
      </c>
      <c r="B186" s="4" t="s">
        <v>28</v>
      </c>
      <c r="C186" s="111">
        <v>45769</v>
      </c>
      <c r="D186" s="4" t="s">
        <v>52</v>
      </c>
      <c r="E186" s="4" t="s">
        <v>24</v>
      </c>
      <c r="F186" s="7">
        <v>2733</v>
      </c>
      <c r="G186" s="7">
        <v>297</v>
      </c>
      <c r="H186" s="7">
        <v>235</v>
      </c>
      <c r="I186" s="7">
        <v>37980</v>
      </c>
      <c r="J186" s="7">
        <v>33058</v>
      </c>
      <c r="K186" s="7">
        <v>219</v>
      </c>
      <c r="L186" s="4" t="s">
        <v>19</v>
      </c>
      <c r="M186" s="4" t="s">
        <v>40</v>
      </c>
      <c r="N186" s="4" t="s">
        <v>53</v>
      </c>
      <c r="O186" s="13">
        <f t="shared" si="2"/>
        <v>8.5966298051606105E-2</v>
      </c>
    </row>
    <row r="187" spans="1:15">
      <c r="A187" s="4" t="s">
        <v>220</v>
      </c>
      <c r="B187" s="4" t="s">
        <v>22</v>
      </c>
      <c r="C187" s="111">
        <v>45459</v>
      </c>
      <c r="D187" s="4" t="s">
        <v>23</v>
      </c>
      <c r="E187" s="4" t="s">
        <v>18</v>
      </c>
      <c r="F187" s="7">
        <v>4618</v>
      </c>
      <c r="G187" s="7">
        <v>312</v>
      </c>
      <c r="H187" s="7">
        <v>254</v>
      </c>
      <c r="I187" s="7">
        <v>22571</v>
      </c>
      <c r="J187" s="7">
        <v>29453</v>
      </c>
      <c r="K187" s="7">
        <v>197</v>
      </c>
      <c r="L187" s="4" t="s">
        <v>363</v>
      </c>
      <c r="M187" s="4" t="s">
        <v>37</v>
      </c>
      <c r="N187" s="4" t="s">
        <v>16</v>
      </c>
      <c r="O187" s="13">
        <f t="shared" si="2"/>
        <v>0.22967524699836073</v>
      </c>
    </row>
    <row r="188" spans="1:15">
      <c r="A188" s="4" t="s">
        <v>221</v>
      </c>
      <c r="B188" s="4" t="s">
        <v>28</v>
      </c>
      <c r="C188" s="111">
        <v>45795</v>
      </c>
      <c r="D188" s="4" t="s">
        <v>52</v>
      </c>
      <c r="E188" s="4" t="s">
        <v>26</v>
      </c>
      <c r="F188" s="7">
        <v>4210</v>
      </c>
      <c r="G188" s="7">
        <v>319</v>
      </c>
      <c r="H188" s="7">
        <v>350</v>
      </c>
      <c r="I188" s="7">
        <v>37762</v>
      </c>
      <c r="J188" s="7">
        <v>55162</v>
      </c>
      <c r="K188" s="7">
        <v>204</v>
      </c>
      <c r="L188" s="4" t="s">
        <v>19</v>
      </c>
      <c r="M188" s="4" t="s">
        <v>40</v>
      </c>
      <c r="N188" s="4" t="s">
        <v>53</v>
      </c>
      <c r="O188" s="13">
        <f t="shared" si="2"/>
        <v>0.12920396165457337</v>
      </c>
    </row>
    <row r="189" spans="1:15">
      <c r="A189" s="4" t="s">
        <v>222</v>
      </c>
      <c r="B189" s="4" t="s">
        <v>13</v>
      </c>
      <c r="C189" s="111">
        <v>45814</v>
      </c>
      <c r="D189" s="4" t="s">
        <v>14</v>
      </c>
      <c r="E189" s="4" t="s">
        <v>26</v>
      </c>
      <c r="F189" s="7">
        <v>3987</v>
      </c>
      <c r="G189" s="7">
        <v>171</v>
      </c>
      <c r="H189" s="7">
        <v>274</v>
      </c>
      <c r="I189" s="7">
        <v>45122</v>
      </c>
      <c r="J189" s="7">
        <v>65431</v>
      </c>
      <c r="K189" s="7">
        <v>168</v>
      </c>
      <c r="L189" s="4" t="s">
        <v>19</v>
      </c>
      <c r="M189" s="4"/>
      <c r="N189" s="4" t="s">
        <v>20</v>
      </c>
      <c r="O189" s="13">
        <f t="shared" si="2"/>
        <v>9.8222596516111871E-2</v>
      </c>
    </row>
    <row r="190" spans="1:15">
      <c r="A190" s="4" t="s">
        <v>223</v>
      </c>
      <c r="B190" s="4" t="s">
        <v>28</v>
      </c>
      <c r="C190" s="111">
        <v>45708</v>
      </c>
      <c r="D190" s="4" t="s">
        <v>52</v>
      </c>
      <c r="E190" s="4" t="s">
        <v>33</v>
      </c>
      <c r="F190" s="7">
        <v>4957</v>
      </c>
      <c r="G190" s="7">
        <v>262</v>
      </c>
      <c r="H190" s="7">
        <v>365</v>
      </c>
      <c r="I190" s="7">
        <v>49199</v>
      </c>
      <c r="J190" s="7">
        <v>40314</v>
      </c>
      <c r="K190" s="7">
        <v>216</v>
      </c>
      <c r="L190" s="4" t="s">
        <v>19</v>
      </c>
      <c r="M190" s="4" t="s">
        <v>40</v>
      </c>
      <c r="N190" s="4" t="s">
        <v>53</v>
      </c>
      <c r="O190" s="13">
        <f t="shared" si="2"/>
        <v>0.11349824183418362</v>
      </c>
    </row>
    <row r="191" spans="1:15">
      <c r="A191" s="4" t="s">
        <v>224</v>
      </c>
      <c r="B191" s="4" t="s">
        <v>13</v>
      </c>
      <c r="C191" s="111">
        <v>45673</v>
      </c>
      <c r="D191" s="4" t="s">
        <v>14</v>
      </c>
      <c r="E191" s="4" t="s">
        <v>29</v>
      </c>
      <c r="F191" s="7">
        <v>2605</v>
      </c>
      <c r="G191" s="7">
        <v>282</v>
      </c>
      <c r="H191" s="7">
        <v>148</v>
      </c>
      <c r="I191" s="7">
        <v>32201</v>
      </c>
      <c r="J191" s="7">
        <v>49583</v>
      </c>
      <c r="K191" s="7">
        <v>241</v>
      </c>
      <c r="L191" s="4" t="s">
        <v>40</v>
      </c>
      <c r="M191" s="4" t="s">
        <v>37</v>
      </c>
      <c r="N191" s="4" t="s">
        <v>16</v>
      </c>
      <c r="O191" s="13">
        <f t="shared" si="2"/>
        <v>9.4251731312692155E-2</v>
      </c>
    </row>
    <row r="192" spans="1:15">
      <c r="A192" s="4" t="s">
        <v>225</v>
      </c>
      <c r="B192" s="4" t="s">
        <v>28</v>
      </c>
      <c r="C192" s="111">
        <v>45346</v>
      </c>
      <c r="D192" s="4" t="s">
        <v>52</v>
      </c>
      <c r="E192" s="4" t="s">
        <v>15</v>
      </c>
      <c r="F192" s="7">
        <v>4221</v>
      </c>
      <c r="G192" s="7">
        <v>307</v>
      </c>
      <c r="H192" s="7">
        <v>58</v>
      </c>
      <c r="I192" s="7">
        <v>45080</v>
      </c>
      <c r="J192" s="7">
        <v>37214</v>
      </c>
      <c r="K192" s="7">
        <v>240</v>
      </c>
      <c r="L192" s="4" t="s">
        <v>19</v>
      </c>
      <c r="M192" s="4" t="s">
        <v>40</v>
      </c>
      <c r="N192" s="4" t="s">
        <v>53</v>
      </c>
      <c r="O192" s="13">
        <f t="shared" si="2"/>
        <v>0.10173025732031943</v>
      </c>
    </row>
    <row r="193" spans="1:15">
      <c r="A193" s="4" t="s">
        <v>226</v>
      </c>
      <c r="B193" s="4" t="s">
        <v>22</v>
      </c>
      <c r="C193" s="111">
        <v>45551</v>
      </c>
      <c r="D193" s="4" t="s">
        <v>23</v>
      </c>
      <c r="E193" s="4" t="s">
        <v>31</v>
      </c>
      <c r="F193" s="7">
        <v>4422</v>
      </c>
      <c r="G193" s="7">
        <v>434</v>
      </c>
      <c r="H193" s="7">
        <v>156</v>
      </c>
      <c r="I193" s="7">
        <v>56165</v>
      </c>
      <c r="J193" s="7">
        <v>52431</v>
      </c>
      <c r="K193" s="7">
        <v>173</v>
      </c>
      <c r="L193" s="4" t="s">
        <v>19</v>
      </c>
      <c r="M193" s="4" t="s">
        <v>363</v>
      </c>
      <c r="N193" s="4" t="s">
        <v>16</v>
      </c>
      <c r="O193" s="13">
        <f t="shared" si="2"/>
        <v>8.9237069349238848E-2</v>
      </c>
    </row>
    <row r="194" spans="1:15">
      <c r="A194" s="4" t="s">
        <v>227</v>
      </c>
      <c r="B194" s="4" t="s">
        <v>28</v>
      </c>
      <c r="C194" s="111">
        <v>45447</v>
      </c>
      <c r="D194" s="4" t="s">
        <v>52</v>
      </c>
      <c r="E194" s="4" t="s">
        <v>26</v>
      </c>
      <c r="F194" s="7">
        <v>1211</v>
      </c>
      <c r="G194" s="7">
        <v>431</v>
      </c>
      <c r="H194" s="7">
        <v>83</v>
      </c>
      <c r="I194" s="7">
        <v>26532</v>
      </c>
      <c r="J194" s="7">
        <v>47305</v>
      </c>
      <c r="K194" s="7">
        <v>232</v>
      </c>
      <c r="L194" s="4" t="s">
        <v>19</v>
      </c>
      <c r="M194" s="4" t="s">
        <v>40</v>
      </c>
      <c r="N194" s="4" t="s">
        <v>53</v>
      </c>
      <c r="O194" s="13">
        <f t="shared" ref="O194:O257" si="3">(F194+H194+G194)/I194</f>
        <v>6.5015829941203071E-2</v>
      </c>
    </row>
    <row r="195" spans="1:15">
      <c r="A195" s="4" t="s">
        <v>228</v>
      </c>
      <c r="B195" s="4" t="s">
        <v>22</v>
      </c>
      <c r="C195" s="111">
        <v>45422</v>
      </c>
      <c r="D195" s="4" t="s">
        <v>23</v>
      </c>
      <c r="E195" s="4" t="s">
        <v>18</v>
      </c>
      <c r="F195" s="7">
        <v>2784</v>
      </c>
      <c r="G195" s="7">
        <v>111</v>
      </c>
      <c r="H195" s="7">
        <v>399</v>
      </c>
      <c r="I195" s="7">
        <v>58366</v>
      </c>
      <c r="J195" s="7">
        <v>69512</v>
      </c>
      <c r="K195" s="7">
        <v>269</v>
      </c>
      <c r="L195" s="4" t="s">
        <v>363</v>
      </c>
      <c r="M195" s="4" t="s">
        <v>37</v>
      </c>
      <c r="N195" s="4" t="s">
        <v>16</v>
      </c>
      <c r="O195" s="13">
        <f t="shared" si="3"/>
        <v>5.6436966727204191E-2</v>
      </c>
    </row>
    <row r="196" spans="1:15">
      <c r="A196" s="4" t="s">
        <v>229</v>
      </c>
      <c r="B196" s="4" t="s">
        <v>28</v>
      </c>
      <c r="C196" s="111">
        <v>45305</v>
      </c>
      <c r="D196" s="4" t="s">
        <v>14</v>
      </c>
      <c r="E196" s="4" t="s">
        <v>24</v>
      </c>
      <c r="F196" s="7">
        <v>3634</v>
      </c>
      <c r="G196" s="7">
        <v>280</v>
      </c>
      <c r="H196" s="7">
        <v>399</v>
      </c>
      <c r="I196" s="7">
        <v>40256</v>
      </c>
      <c r="J196" s="7">
        <v>52605</v>
      </c>
      <c r="K196" s="7">
        <v>213</v>
      </c>
      <c r="L196" s="4" t="s">
        <v>19</v>
      </c>
      <c r="M196" s="4" t="s">
        <v>364</v>
      </c>
      <c r="N196" s="4" t="s">
        <v>20</v>
      </c>
      <c r="O196" s="13">
        <f t="shared" si="3"/>
        <v>0.10713930842607314</v>
      </c>
    </row>
    <row r="197" spans="1:15">
      <c r="A197" s="4" t="s">
        <v>230</v>
      </c>
      <c r="B197" s="4" t="s">
        <v>13</v>
      </c>
      <c r="C197" s="111">
        <v>45669</v>
      </c>
      <c r="D197" s="4" t="s">
        <v>14</v>
      </c>
      <c r="E197" s="4" t="s">
        <v>44</v>
      </c>
      <c r="F197" s="7">
        <v>1771</v>
      </c>
      <c r="G197" s="7">
        <v>487</v>
      </c>
      <c r="H197" s="7">
        <v>272</v>
      </c>
      <c r="I197" s="7">
        <v>48810</v>
      </c>
      <c r="J197" s="7">
        <v>48084</v>
      </c>
      <c r="K197" s="7">
        <v>272</v>
      </c>
      <c r="L197" s="4" t="s">
        <v>40</v>
      </c>
      <c r="M197" s="4" t="s">
        <v>37</v>
      </c>
      <c r="N197" s="4" t="s">
        <v>16</v>
      </c>
      <c r="O197" s="13">
        <f t="shared" si="3"/>
        <v>5.1833640647408315E-2</v>
      </c>
    </row>
    <row r="198" spans="1:15">
      <c r="A198" s="4" t="s">
        <v>231</v>
      </c>
      <c r="B198" s="4" t="s">
        <v>28</v>
      </c>
      <c r="C198" s="111">
        <v>45634</v>
      </c>
      <c r="D198" s="4" t="s">
        <v>14</v>
      </c>
      <c r="E198" s="4" t="s">
        <v>36</v>
      </c>
      <c r="F198" s="7">
        <v>1424</v>
      </c>
      <c r="G198" s="7">
        <v>396</v>
      </c>
      <c r="H198" s="7">
        <v>312</v>
      </c>
      <c r="I198" s="7">
        <v>59517</v>
      </c>
      <c r="J198" s="7">
        <v>46102</v>
      </c>
      <c r="K198" s="7">
        <v>239</v>
      </c>
      <c r="L198" s="4" t="s">
        <v>19</v>
      </c>
      <c r="M198" s="4" t="s">
        <v>364</v>
      </c>
      <c r="N198" s="4" t="s">
        <v>20</v>
      </c>
      <c r="O198" s="13">
        <f t="shared" si="3"/>
        <v>3.5821698002251455E-2</v>
      </c>
    </row>
    <row r="199" spans="1:15">
      <c r="A199" s="4" t="s">
        <v>232</v>
      </c>
      <c r="B199" s="4" t="s">
        <v>22</v>
      </c>
      <c r="C199" s="111">
        <v>45689</v>
      </c>
      <c r="D199" s="4" t="s">
        <v>23</v>
      </c>
      <c r="E199" s="4" t="s">
        <v>36</v>
      </c>
      <c r="F199" s="7">
        <v>1079</v>
      </c>
      <c r="G199" s="7">
        <v>265</v>
      </c>
      <c r="H199" s="7">
        <v>190</v>
      </c>
      <c r="I199" s="7">
        <v>43786</v>
      </c>
      <c r="J199" s="7">
        <v>72428</v>
      </c>
      <c r="K199" s="7">
        <v>222</v>
      </c>
      <c r="L199" s="4" t="s">
        <v>40</v>
      </c>
      <c r="M199" s="4" t="s">
        <v>37</v>
      </c>
      <c r="N199" s="4" t="s">
        <v>16</v>
      </c>
      <c r="O199" s="13">
        <f t="shared" si="3"/>
        <v>3.5034029141734799E-2</v>
      </c>
    </row>
    <row r="200" spans="1:15">
      <c r="A200" s="4" t="s">
        <v>233</v>
      </c>
      <c r="B200" s="4" t="s">
        <v>22</v>
      </c>
      <c r="C200" s="111">
        <v>45484</v>
      </c>
      <c r="D200" s="4" t="s">
        <v>23</v>
      </c>
      <c r="E200" s="4" t="s">
        <v>33</v>
      </c>
      <c r="F200" s="7">
        <v>4247</v>
      </c>
      <c r="G200" s="7">
        <v>179</v>
      </c>
      <c r="H200" s="7">
        <v>175</v>
      </c>
      <c r="I200" s="7">
        <v>32991</v>
      </c>
      <c r="J200" s="7">
        <v>70120</v>
      </c>
      <c r="K200" s="7">
        <v>276</v>
      </c>
      <c r="L200" s="4" t="s">
        <v>40</v>
      </c>
      <c r="M200" s="4" t="s">
        <v>37</v>
      </c>
      <c r="N200" s="4" t="s">
        <v>16</v>
      </c>
      <c r="O200" s="13">
        <f t="shared" si="3"/>
        <v>0.13946227759085811</v>
      </c>
    </row>
    <row r="201" spans="1:15">
      <c r="A201" s="4" t="s">
        <v>234</v>
      </c>
      <c r="B201" s="4" t="s">
        <v>22</v>
      </c>
      <c r="C201" s="111">
        <v>45369</v>
      </c>
      <c r="D201" s="4" t="s">
        <v>14</v>
      </c>
      <c r="E201" s="4" t="s">
        <v>24</v>
      </c>
      <c r="F201" s="7">
        <v>2033</v>
      </c>
      <c r="G201" s="7">
        <v>420</v>
      </c>
      <c r="H201" s="7">
        <v>94</v>
      </c>
      <c r="I201" s="7">
        <v>56290</v>
      </c>
      <c r="J201" s="7">
        <v>57391</v>
      </c>
      <c r="K201" s="7">
        <v>196</v>
      </c>
      <c r="L201" s="4" t="s">
        <v>37</v>
      </c>
      <c r="M201" s="4"/>
      <c r="N201" s="4" t="s">
        <v>16</v>
      </c>
      <c r="O201" s="13">
        <f t="shared" si="3"/>
        <v>4.5247823769763724E-2</v>
      </c>
    </row>
    <row r="202" spans="1:15">
      <c r="A202" s="4" t="s">
        <v>235</v>
      </c>
      <c r="B202" s="4" t="s">
        <v>22</v>
      </c>
      <c r="C202" s="111">
        <v>45547</v>
      </c>
      <c r="D202" s="4" t="s">
        <v>23</v>
      </c>
      <c r="E202" s="4" t="s">
        <v>26</v>
      </c>
      <c r="F202" s="7">
        <v>1839</v>
      </c>
      <c r="G202" s="7">
        <v>223</v>
      </c>
      <c r="H202" s="7">
        <v>171</v>
      </c>
      <c r="I202" s="7">
        <v>35459</v>
      </c>
      <c r="J202" s="7">
        <v>69988</v>
      </c>
      <c r="K202" s="7">
        <v>114</v>
      </c>
      <c r="L202" s="4" t="s">
        <v>363</v>
      </c>
      <c r="M202" s="4" t="s">
        <v>37</v>
      </c>
      <c r="N202" s="4" t="s">
        <v>16</v>
      </c>
      <c r="O202" s="13">
        <f t="shared" si="3"/>
        <v>6.2974139146620034E-2</v>
      </c>
    </row>
    <row r="203" spans="1:15">
      <c r="A203" s="4" t="s">
        <v>236</v>
      </c>
      <c r="B203" s="4" t="s">
        <v>22</v>
      </c>
      <c r="C203" s="111">
        <v>45302</v>
      </c>
      <c r="D203" s="4" t="s">
        <v>23</v>
      </c>
      <c r="E203" s="4" t="s">
        <v>26</v>
      </c>
      <c r="F203" s="7">
        <v>2340</v>
      </c>
      <c r="G203" s="7">
        <v>141</v>
      </c>
      <c r="H203" s="7">
        <v>206</v>
      </c>
      <c r="I203" s="7">
        <v>24916</v>
      </c>
      <c r="J203" s="7">
        <v>30582</v>
      </c>
      <c r="K203" s="7">
        <v>157</v>
      </c>
      <c r="L203" s="4" t="s">
        <v>40</v>
      </c>
      <c r="M203" s="4" t="s">
        <v>37</v>
      </c>
      <c r="N203" s="4" t="s">
        <v>16</v>
      </c>
      <c r="O203" s="13">
        <f t="shared" si="3"/>
        <v>0.10784235029699792</v>
      </c>
    </row>
    <row r="204" spans="1:15">
      <c r="A204" s="4" t="s">
        <v>237</v>
      </c>
      <c r="B204" s="4" t="s">
        <v>13</v>
      </c>
      <c r="C204" s="111">
        <v>45571</v>
      </c>
      <c r="D204" s="4" t="s">
        <v>14</v>
      </c>
      <c r="E204" s="4" t="s">
        <v>36</v>
      </c>
      <c r="F204" s="7">
        <v>2080</v>
      </c>
      <c r="G204" s="7">
        <v>389</v>
      </c>
      <c r="H204" s="7">
        <v>92</v>
      </c>
      <c r="I204" s="7">
        <v>30971</v>
      </c>
      <c r="J204" s="7">
        <v>25347</v>
      </c>
      <c r="K204" s="7">
        <v>111</v>
      </c>
      <c r="L204" s="4" t="s">
        <v>19</v>
      </c>
      <c r="M204" s="4"/>
      <c r="N204" s="4" t="s">
        <v>20</v>
      </c>
      <c r="O204" s="13">
        <f t="shared" si="3"/>
        <v>8.2690258629040073E-2</v>
      </c>
    </row>
    <row r="205" spans="1:15">
      <c r="A205" s="4" t="s">
        <v>238</v>
      </c>
      <c r="B205" s="4" t="s">
        <v>22</v>
      </c>
      <c r="C205" s="111">
        <v>45656</v>
      </c>
      <c r="D205" s="4" t="s">
        <v>14</v>
      </c>
      <c r="E205" s="4" t="s">
        <v>33</v>
      </c>
      <c r="F205" s="7">
        <v>4214</v>
      </c>
      <c r="G205" s="7">
        <v>286</v>
      </c>
      <c r="H205" s="7">
        <v>127</v>
      </c>
      <c r="I205" s="7">
        <v>47293</v>
      </c>
      <c r="J205" s="7">
        <v>27184</v>
      </c>
      <c r="K205" s="7">
        <v>232</v>
      </c>
      <c r="L205" s="4" t="s">
        <v>37</v>
      </c>
      <c r="M205" s="4"/>
      <c r="N205" s="4" t="s">
        <v>16</v>
      </c>
      <c r="O205" s="13">
        <f t="shared" si="3"/>
        <v>9.7836889180216949E-2</v>
      </c>
    </row>
    <row r="206" spans="1:15">
      <c r="A206" s="4" t="s">
        <v>239</v>
      </c>
      <c r="B206" s="4" t="s">
        <v>22</v>
      </c>
      <c r="C206" s="111">
        <v>45763</v>
      </c>
      <c r="D206" s="4" t="s">
        <v>14</v>
      </c>
      <c r="E206" s="4" t="s">
        <v>26</v>
      </c>
      <c r="F206" s="7">
        <v>3792</v>
      </c>
      <c r="G206" s="7">
        <v>315</v>
      </c>
      <c r="H206" s="7">
        <v>120</v>
      </c>
      <c r="I206" s="7">
        <v>54592</v>
      </c>
      <c r="J206" s="7">
        <v>67886</v>
      </c>
      <c r="K206" s="7">
        <v>117</v>
      </c>
      <c r="L206" s="4" t="s">
        <v>40</v>
      </c>
      <c r="M206" s="4"/>
      <c r="N206" s="4" t="s">
        <v>20</v>
      </c>
      <c r="O206" s="13">
        <f t="shared" si="3"/>
        <v>7.7428927315357568E-2</v>
      </c>
    </row>
    <row r="207" spans="1:15">
      <c r="A207" s="4" t="s">
        <v>240</v>
      </c>
      <c r="B207" s="4" t="s">
        <v>22</v>
      </c>
      <c r="C207" s="111">
        <v>45525</v>
      </c>
      <c r="D207" s="4" t="s">
        <v>23</v>
      </c>
      <c r="E207" s="4" t="s">
        <v>18</v>
      </c>
      <c r="F207" s="7">
        <v>3989</v>
      </c>
      <c r="G207" s="7">
        <v>476</v>
      </c>
      <c r="H207" s="7">
        <v>128</v>
      </c>
      <c r="I207" s="7">
        <v>57569</v>
      </c>
      <c r="J207" s="7">
        <v>40193</v>
      </c>
      <c r="K207" s="7">
        <v>222</v>
      </c>
      <c r="L207" s="4" t="s">
        <v>19</v>
      </c>
      <c r="M207" s="4" t="s">
        <v>363</v>
      </c>
      <c r="N207" s="4" t="s">
        <v>16</v>
      </c>
      <c r="O207" s="13">
        <f t="shared" si="3"/>
        <v>7.9782521843353188E-2</v>
      </c>
    </row>
    <row r="208" spans="1:15">
      <c r="A208" s="4" t="s">
        <v>241</v>
      </c>
      <c r="B208" s="4" t="s">
        <v>22</v>
      </c>
      <c r="C208" s="111">
        <v>45387</v>
      </c>
      <c r="D208" s="4" t="s">
        <v>23</v>
      </c>
      <c r="E208" s="4" t="s">
        <v>26</v>
      </c>
      <c r="F208" s="7">
        <v>2857</v>
      </c>
      <c r="G208" s="7">
        <v>443</v>
      </c>
      <c r="H208" s="7">
        <v>359</v>
      </c>
      <c r="I208" s="7">
        <v>51519</v>
      </c>
      <c r="J208" s="7">
        <v>28256</v>
      </c>
      <c r="K208" s="7">
        <v>155</v>
      </c>
      <c r="L208" s="4" t="s">
        <v>40</v>
      </c>
      <c r="M208" s="4" t="s">
        <v>37</v>
      </c>
      <c r="N208" s="4" t="s">
        <v>16</v>
      </c>
      <c r="O208" s="13">
        <f t="shared" si="3"/>
        <v>7.1022341272152026E-2</v>
      </c>
    </row>
    <row r="209" spans="1:15">
      <c r="A209" s="4" t="s">
        <v>242</v>
      </c>
      <c r="B209" s="4" t="s">
        <v>22</v>
      </c>
      <c r="C209" s="111">
        <v>45754</v>
      </c>
      <c r="D209" s="4" t="s">
        <v>14</v>
      </c>
      <c r="E209" s="4" t="s">
        <v>44</v>
      </c>
      <c r="F209" s="7">
        <v>1403</v>
      </c>
      <c r="G209" s="7">
        <v>385</v>
      </c>
      <c r="H209" s="7">
        <v>344</v>
      </c>
      <c r="I209" s="7">
        <v>54223</v>
      </c>
      <c r="J209" s="7">
        <v>72595</v>
      </c>
      <c r="K209" s="7">
        <v>239</v>
      </c>
      <c r="L209" s="4" t="s">
        <v>40</v>
      </c>
      <c r="M209" s="4"/>
      <c r="N209" s="4" t="s">
        <v>20</v>
      </c>
      <c r="O209" s="13">
        <f t="shared" si="3"/>
        <v>3.9319108127547353E-2</v>
      </c>
    </row>
    <row r="210" spans="1:15">
      <c r="A210" s="4" t="s">
        <v>243</v>
      </c>
      <c r="B210" s="4" t="s">
        <v>22</v>
      </c>
      <c r="C210" s="111">
        <v>45492</v>
      </c>
      <c r="D210" s="4" t="s">
        <v>23</v>
      </c>
      <c r="E210" s="4" t="s">
        <v>31</v>
      </c>
      <c r="F210" s="7">
        <v>3071</v>
      </c>
      <c r="G210" s="7">
        <v>126</v>
      </c>
      <c r="H210" s="7">
        <v>200</v>
      </c>
      <c r="I210" s="7">
        <v>44013</v>
      </c>
      <c r="J210" s="7">
        <v>44679</v>
      </c>
      <c r="K210" s="7">
        <v>118</v>
      </c>
      <c r="L210" s="4" t="s">
        <v>19</v>
      </c>
      <c r="M210" s="4" t="s">
        <v>363</v>
      </c>
      <c r="N210" s="4" t="s">
        <v>16</v>
      </c>
      <c r="O210" s="13">
        <f t="shared" si="3"/>
        <v>7.7181741758116915E-2</v>
      </c>
    </row>
    <row r="211" spans="1:15">
      <c r="A211" s="4" t="s">
        <v>244</v>
      </c>
      <c r="B211" s="4" t="s">
        <v>22</v>
      </c>
      <c r="C211" s="111">
        <v>45780</v>
      </c>
      <c r="D211" s="4" t="s">
        <v>23</v>
      </c>
      <c r="E211" s="4" t="s">
        <v>36</v>
      </c>
      <c r="F211" s="7">
        <v>1010</v>
      </c>
      <c r="G211" s="7">
        <v>361</v>
      </c>
      <c r="H211" s="7">
        <v>240</v>
      </c>
      <c r="I211" s="7">
        <v>47229</v>
      </c>
      <c r="J211" s="7">
        <v>72573</v>
      </c>
      <c r="K211" s="7">
        <v>275</v>
      </c>
      <c r="L211" s="4" t="s">
        <v>40</v>
      </c>
      <c r="M211" s="4" t="s">
        <v>37</v>
      </c>
      <c r="N211" s="4" t="s">
        <v>16</v>
      </c>
      <c r="O211" s="13">
        <f t="shared" si="3"/>
        <v>3.4110398272247981E-2</v>
      </c>
    </row>
    <row r="212" spans="1:15">
      <c r="A212" s="4" t="s">
        <v>245</v>
      </c>
      <c r="B212" s="4" t="s">
        <v>22</v>
      </c>
      <c r="C212" s="111">
        <v>45396</v>
      </c>
      <c r="D212" s="4" t="s">
        <v>23</v>
      </c>
      <c r="E212" s="4" t="s">
        <v>15</v>
      </c>
      <c r="F212" s="7">
        <v>1295</v>
      </c>
      <c r="G212" s="7">
        <v>153</v>
      </c>
      <c r="H212" s="7">
        <v>81</v>
      </c>
      <c r="I212" s="7">
        <v>48350</v>
      </c>
      <c r="J212" s="7">
        <v>61033</v>
      </c>
      <c r="K212" s="7">
        <v>232</v>
      </c>
      <c r="L212" s="4" t="s">
        <v>19</v>
      </c>
      <c r="M212" s="4" t="s">
        <v>363</v>
      </c>
      <c r="N212" s="4" t="s">
        <v>16</v>
      </c>
      <c r="O212" s="13">
        <f t="shared" si="3"/>
        <v>3.1623578076525334E-2</v>
      </c>
    </row>
    <row r="213" spans="1:15">
      <c r="A213" s="4" t="s">
        <v>246</v>
      </c>
      <c r="B213" s="4" t="s">
        <v>22</v>
      </c>
      <c r="C213" s="111">
        <v>45827</v>
      </c>
      <c r="D213" s="4" t="s">
        <v>23</v>
      </c>
      <c r="E213" s="4" t="s">
        <v>31</v>
      </c>
      <c r="F213" s="7">
        <v>1433</v>
      </c>
      <c r="G213" s="7">
        <v>452</v>
      </c>
      <c r="H213" s="7">
        <v>305</v>
      </c>
      <c r="I213" s="7">
        <v>54541</v>
      </c>
      <c r="J213" s="7">
        <v>63700</v>
      </c>
      <c r="K213" s="7">
        <v>296</v>
      </c>
      <c r="L213" s="4" t="s">
        <v>19</v>
      </c>
      <c r="M213" s="4" t="s">
        <v>363</v>
      </c>
      <c r="N213" s="4" t="s">
        <v>16</v>
      </c>
      <c r="O213" s="13">
        <f t="shared" si="3"/>
        <v>4.0153279184466734E-2</v>
      </c>
    </row>
    <row r="214" spans="1:15">
      <c r="A214" s="4" t="s">
        <v>247</v>
      </c>
      <c r="B214" s="4" t="s">
        <v>13</v>
      </c>
      <c r="C214" s="111">
        <v>45832</v>
      </c>
      <c r="D214" s="4" t="s">
        <v>23</v>
      </c>
      <c r="E214" s="4" t="s">
        <v>33</v>
      </c>
      <c r="F214" s="7">
        <v>4902</v>
      </c>
      <c r="G214" s="7">
        <v>422</v>
      </c>
      <c r="H214" s="7">
        <v>376</v>
      </c>
      <c r="I214" s="7">
        <v>31674</v>
      </c>
      <c r="J214" s="7">
        <v>53225</v>
      </c>
      <c r="K214" s="7">
        <v>147</v>
      </c>
      <c r="L214" s="4" t="s">
        <v>37</v>
      </c>
      <c r="M214" s="4"/>
      <c r="N214" s="4" t="s">
        <v>50</v>
      </c>
      <c r="O214" s="13">
        <f t="shared" si="3"/>
        <v>0.17995832544042431</v>
      </c>
    </row>
    <row r="215" spans="1:15">
      <c r="A215" s="4" t="s">
        <v>248</v>
      </c>
      <c r="B215" s="4" t="s">
        <v>22</v>
      </c>
      <c r="C215" s="111">
        <v>45574</v>
      </c>
      <c r="D215" s="4" t="s">
        <v>14</v>
      </c>
      <c r="E215" s="4" t="s">
        <v>26</v>
      </c>
      <c r="F215" s="7">
        <v>2659</v>
      </c>
      <c r="G215" s="7">
        <v>167</v>
      </c>
      <c r="H215" s="7">
        <v>73</v>
      </c>
      <c r="I215" s="7">
        <v>23090</v>
      </c>
      <c r="J215" s="7">
        <v>25872</v>
      </c>
      <c r="K215" s="7">
        <v>293</v>
      </c>
      <c r="L215" s="4" t="s">
        <v>40</v>
      </c>
      <c r="M215" s="4"/>
      <c r="N215" s="4" t="s">
        <v>20</v>
      </c>
      <c r="O215" s="13">
        <f t="shared" si="3"/>
        <v>0.12555218709398008</v>
      </c>
    </row>
    <row r="216" spans="1:15">
      <c r="A216" s="4" t="s">
        <v>249</v>
      </c>
      <c r="B216" s="4" t="s">
        <v>28</v>
      </c>
      <c r="C216" s="111">
        <v>45672</v>
      </c>
      <c r="D216" s="4" t="s">
        <v>14</v>
      </c>
      <c r="E216" s="4" t="s">
        <v>46</v>
      </c>
      <c r="F216" s="7">
        <v>2599</v>
      </c>
      <c r="G216" s="7">
        <v>324</v>
      </c>
      <c r="H216" s="7">
        <v>182</v>
      </c>
      <c r="I216" s="7">
        <v>37525</v>
      </c>
      <c r="J216" s="7">
        <v>37216</v>
      </c>
      <c r="K216" s="7">
        <v>186</v>
      </c>
      <c r="L216" s="4" t="s">
        <v>19</v>
      </c>
      <c r="M216" s="4" t="s">
        <v>364</v>
      </c>
      <c r="N216" s="4" t="s">
        <v>20</v>
      </c>
      <c r="O216" s="13">
        <f t="shared" si="3"/>
        <v>8.2744836775483013E-2</v>
      </c>
    </row>
    <row r="217" spans="1:15">
      <c r="A217" s="4" t="s">
        <v>250</v>
      </c>
      <c r="B217" s="4" t="s">
        <v>22</v>
      </c>
      <c r="C217" s="111">
        <v>45669</v>
      </c>
      <c r="D217" s="4" t="s">
        <v>14</v>
      </c>
      <c r="E217" s="4" t="s">
        <v>29</v>
      </c>
      <c r="F217" s="7">
        <v>1765</v>
      </c>
      <c r="G217" s="7">
        <v>285</v>
      </c>
      <c r="H217" s="7">
        <v>100</v>
      </c>
      <c r="I217" s="7">
        <v>41313</v>
      </c>
      <c r="J217" s="7">
        <v>56575</v>
      </c>
      <c r="K217" s="7">
        <v>174</v>
      </c>
      <c r="L217" s="4" t="s">
        <v>40</v>
      </c>
      <c r="M217" s="4"/>
      <c r="N217" s="4" t="s">
        <v>20</v>
      </c>
      <c r="O217" s="13">
        <f t="shared" si="3"/>
        <v>5.2041730205988429E-2</v>
      </c>
    </row>
    <row r="218" spans="1:15">
      <c r="A218" s="4" t="s">
        <v>251</v>
      </c>
      <c r="B218" s="4" t="s">
        <v>13</v>
      </c>
      <c r="C218" s="111">
        <v>45808</v>
      </c>
      <c r="D218" s="4" t="s">
        <v>14</v>
      </c>
      <c r="E218" s="4" t="s">
        <v>31</v>
      </c>
      <c r="F218" s="7">
        <v>2169</v>
      </c>
      <c r="G218" s="7">
        <v>240</v>
      </c>
      <c r="H218" s="7">
        <v>57</v>
      </c>
      <c r="I218" s="7">
        <v>26109</v>
      </c>
      <c r="J218" s="7">
        <v>46667</v>
      </c>
      <c r="K218" s="7">
        <v>133</v>
      </c>
      <c r="L218" s="4" t="s">
        <v>40</v>
      </c>
      <c r="M218" s="4" t="s">
        <v>37</v>
      </c>
      <c r="N218" s="4" t="s">
        <v>16</v>
      </c>
      <c r="O218" s="13">
        <f t="shared" si="3"/>
        <v>9.4450189589796618E-2</v>
      </c>
    </row>
    <row r="219" spans="1:15">
      <c r="A219" s="4" t="s">
        <v>252</v>
      </c>
      <c r="B219" s="4" t="s">
        <v>22</v>
      </c>
      <c r="C219" s="111">
        <v>45579</v>
      </c>
      <c r="D219" s="4" t="s">
        <v>23</v>
      </c>
      <c r="E219" s="4" t="s">
        <v>18</v>
      </c>
      <c r="F219" s="7">
        <v>4303</v>
      </c>
      <c r="G219" s="7">
        <v>306</v>
      </c>
      <c r="H219" s="7">
        <v>302</v>
      </c>
      <c r="I219" s="7">
        <v>39575</v>
      </c>
      <c r="J219" s="7">
        <v>33762</v>
      </c>
      <c r="K219" s="7">
        <v>265</v>
      </c>
      <c r="L219" s="4" t="s">
        <v>19</v>
      </c>
      <c r="M219" s="4" t="s">
        <v>363</v>
      </c>
      <c r="N219" s="4" t="s">
        <v>16</v>
      </c>
      <c r="O219" s="13">
        <f t="shared" si="3"/>
        <v>0.12409349336702463</v>
      </c>
    </row>
    <row r="220" spans="1:15">
      <c r="A220" s="4" t="s">
        <v>253</v>
      </c>
      <c r="B220" s="4" t="s">
        <v>22</v>
      </c>
      <c r="C220" s="111">
        <v>45332</v>
      </c>
      <c r="D220" s="4" t="s">
        <v>14</v>
      </c>
      <c r="E220" s="4" t="s">
        <v>44</v>
      </c>
      <c r="F220" s="7">
        <v>1519</v>
      </c>
      <c r="G220" s="7">
        <v>456</v>
      </c>
      <c r="H220" s="7">
        <v>379</v>
      </c>
      <c r="I220" s="7">
        <v>51611</v>
      </c>
      <c r="J220" s="7">
        <v>45880</v>
      </c>
      <c r="K220" s="7">
        <v>176</v>
      </c>
      <c r="L220" s="4" t="s">
        <v>40</v>
      </c>
      <c r="M220" s="4"/>
      <c r="N220" s="4" t="s">
        <v>20</v>
      </c>
      <c r="O220" s="13">
        <f t="shared" si="3"/>
        <v>4.5610431884675749E-2</v>
      </c>
    </row>
    <row r="221" spans="1:15">
      <c r="A221" s="4" t="s">
        <v>254</v>
      </c>
      <c r="B221" s="4" t="s">
        <v>28</v>
      </c>
      <c r="C221" s="111">
        <v>45636</v>
      </c>
      <c r="D221" s="4" t="s">
        <v>14</v>
      </c>
      <c r="E221" s="4" t="s">
        <v>31</v>
      </c>
      <c r="F221" s="7">
        <v>2569</v>
      </c>
      <c r="G221" s="7">
        <v>140</v>
      </c>
      <c r="H221" s="7">
        <v>375</v>
      </c>
      <c r="I221" s="7">
        <v>38372</v>
      </c>
      <c r="J221" s="7">
        <v>22102</v>
      </c>
      <c r="K221" s="7">
        <v>255</v>
      </c>
      <c r="L221" s="4" t="s">
        <v>19</v>
      </c>
      <c r="M221" s="4" t="s">
        <v>364</v>
      </c>
      <c r="N221" s="4" t="s">
        <v>20</v>
      </c>
      <c r="O221" s="13">
        <f t="shared" si="3"/>
        <v>8.0371103929948923E-2</v>
      </c>
    </row>
    <row r="222" spans="1:15">
      <c r="A222" s="4" t="s">
        <v>255</v>
      </c>
      <c r="B222" s="4" t="s">
        <v>22</v>
      </c>
      <c r="C222" s="111">
        <v>45786</v>
      </c>
      <c r="D222" s="4" t="s">
        <v>23</v>
      </c>
      <c r="E222" s="4" t="s">
        <v>29</v>
      </c>
      <c r="F222" s="7">
        <v>2778</v>
      </c>
      <c r="G222" s="7">
        <v>241</v>
      </c>
      <c r="H222" s="7">
        <v>317</v>
      </c>
      <c r="I222" s="7">
        <v>26247</v>
      </c>
      <c r="J222" s="7">
        <v>20677</v>
      </c>
      <c r="K222" s="7">
        <v>282</v>
      </c>
      <c r="L222" s="4" t="s">
        <v>363</v>
      </c>
      <c r="M222" s="4" t="s">
        <v>37</v>
      </c>
      <c r="N222" s="4" t="s">
        <v>16</v>
      </c>
      <c r="O222" s="13">
        <f t="shared" si="3"/>
        <v>0.1271002400274317</v>
      </c>
    </row>
    <row r="223" spans="1:15">
      <c r="A223" s="4" t="s">
        <v>256</v>
      </c>
      <c r="B223" s="4" t="s">
        <v>22</v>
      </c>
      <c r="C223" s="111">
        <v>45829</v>
      </c>
      <c r="D223" s="4" t="s">
        <v>14</v>
      </c>
      <c r="E223" s="4" t="s">
        <v>18</v>
      </c>
      <c r="F223" s="7">
        <v>3611</v>
      </c>
      <c r="G223" s="7">
        <v>127</v>
      </c>
      <c r="H223" s="7">
        <v>139</v>
      </c>
      <c r="I223" s="7">
        <v>44768</v>
      </c>
      <c r="J223" s="7">
        <v>29435</v>
      </c>
      <c r="K223" s="7">
        <v>178</v>
      </c>
      <c r="L223" s="4" t="s">
        <v>37</v>
      </c>
      <c r="M223" s="4"/>
      <c r="N223" s="4" t="s">
        <v>16</v>
      </c>
      <c r="O223" s="13">
        <f t="shared" si="3"/>
        <v>8.6602037169406718E-2</v>
      </c>
    </row>
    <row r="224" spans="1:15">
      <c r="A224" s="4" t="s">
        <v>257</v>
      </c>
      <c r="B224" s="4" t="s">
        <v>22</v>
      </c>
      <c r="C224" s="111">
        <v>45462</v>
      </c>
      <c r="D224" s="4" t="s">
        <v>14</v>
      </c>
      <c r="E224" s="4" t="s">
        <v>31</v>
      </c>
      <c r="F224" s="7">
        <v>1224</v>
      </c>
      <c r="G224" s="7">
        <v>168</v>
      </c>
      <c r="H224" s="7">
        <v>199</v>
      </c>
      <c r="I224" s="7">
        <v>54232</v>
      </c>
      <c r="J224" s="7">
        <v>52844</v>
      </c>
      <c r="K224" s="7">
        <v>271</v>
      </c>
      <c r="L224" s="4" t="s">
        <v>40</v>
      </c>
      <c r="M224" s="4"/>
      <c r="N224" s="4" t="s">
        <v>20</v>
      </c>
      <c r="O224" s="13">
        <f t="shared" si="3"/>
        <v>2.9336922849977874E-2</v>
      </c>
    </row>
    <row r="225" spans="1:15">
      <c r="A225" s="4" t="s">
        <v>258</v>
      </c>
      <c r="B225" s="4" t="s">
        <v>22</v>
      </c>
      <c r="C225" s="111">
        <v>45636</v>
      </c>
      <c r="D225" s="4" t="s">
        <v>14</v>
      </c>
      <c r="E225" s="4" t="s">
        <v>44</v>
      </c>
      <c r="F225" s="7">
        <v>4673</v>
      </c>
      <c r="G225" s="7">
        <v>270</v>
      </c>
      <c r="H225" s="7">
        <v>93</v>
      </c>
      <c r="I225" s="7">
        <v>45260</v>
      </c>
      <c r="J225" s="7">
        <v>57513</v>
      </c>
      <c r="K225" s="7">
        <v>103</v>
      </c>
      <c r="L225" s="4" t="s">
        <v>37</v>
      </c>
      <c r="M225" s="4"/>
      <c r="N225" s="4" t="s">
        <v>16</v>
      </c>
      <c r="O225" s="13">
        <f t="shared" si="3"/>
        <v>0.11126822801590809</v>
      </c>
    </row>
    <row r="226" spans="1:15">
      <c r="A226" s="4" t="s">
        <v>259</v>
      </c>
      <c r="B226" s="4" t="s">
        <v>28</v>
      </c>
      <c r="C226" s="111">
        <v>45323</v>
      </c>
      <c r="D226" s="4" t="s">
        <v>14</v>
      </c>
      <c r="E226" s="4" t="s">
        <v>26</v>
      </c>
      <c r="F226" s="7">
        <v>1432</v>
      </c>
      <c r="G226" s="7">
        <v>437</v>
      </c>
      <c r="H226" s="7">
        <v>267</v>
      </c>
      <c r="I226" s="7">
        <v>40634</v>
      </c>
      <c r="J226" s="7">
        <v>54511</v>
      </c>
      <c r="K226" s="7">
        <v>197</v>
      </c>
      <c r="L226" s="4" t="s">
        <v>19</v>
      </c>
      <c r="M226" s="4" t="s">
        <v>364</v>
      </c>
      <c r="N226" s="4" t="s">
        <v>20</v>
      </c>
      <c r="O226" s="13">
        <f t="shared" si="3"/>
        <v>5.2566815966924252E-2</v>
      </c>
    </row>
    <row r="227" spans="1:15">
      <c r="A227" s="4" t="s">
        <v>260</v>
      </c>
      <c r="B227" s="4" t="s">
        <v>22</v>
      </c>
      <c r="C227" s="111">
        <v>45308</v>
      </c>
      <c r="D227" s="4" t="s">
        <v>23</v>
      </c>
      <c r="E227" s="4" t="s">
        <v>24</v>
      </c>
      <c r="F227" s="7">
        <v>2174</v>
      </c>
      <c r="G227" s="7">
        <v>499</v>
      </c>
      <c r="H227" s="7">
        <v>212</v>
      </c>
      <c r="I227" s="7">
        <v>54938</v>
      </c>
      <c r="J227" s="7">
        <v>27190</v>
      </c>
      <c r="K227" s="7">
        <v>265</v>
      </c>
      <c r="L227" s="4" t="s">
        <v>363</v>
      </c>
      <c r="M227" s="4" t="s">
        <v>37</v>
      </c>
      <c r="N227" s="4" t="s">
        <v>16</v>
      </c>
      <c r="O227" s="13">
        <f t="shared" si="3"/>
        <v>5.2513742764570971E-2</v>
      </c>
    </row>
    <row r="228" spans="1:15">
      <c r="A228" s="4" t="s">
        <v>261</v>
      </c>
      <c r="B228" s="4" t="s">
        <v>28</v>
      </c>
      <c r="C228" s="111">
        <v>45738</v>
      </c>
      <c r="D228" s="4" t="s">
        <v>14</v>
      </c>
      <c r="E228" s="4" t="s">
        <v>29</v>
      </c>
      <c r="F228" s="7">
        <v>4308</v>
      </c>
      <c r="G228" s="7">
        <v>171</v>
      </c>
      <c r="H228" s="7">
        <v>106</v>
      </c>
      <c r="I228" s="7">
        <v>36955</v>
      </c>
      <c r="J228" s="7">
        <v>23949</v>
      </c>
      <c r="K228" s="7">
        <v>294</v>
      </c>
      <c r="L228" s="4" t="s">
        <v>19</v>
      </c>
      <c r="M228" s="4" t="s">
        <v>364</v>
      </c>
      <c r="N228" s="4" t="s">
        <v>20</v>
      </c>
      <c r="O228" s="13">
        <f t="shared" si="3"/>
        <v>0.12406981463942633</v>
      </c>
    </row>
    <row r="229" spans="1:15">
      <c r="A229" s="4" t="s">
        <v>262</v>
      </c>
      <c r="B229" s="4" t="s">
        <v>28</v>
      </c>
      <c r="C229" s="111">
        <v>45442</v>
      </c>
      <c r="D229" s="4" t="s">
        <v>52</v>
      </c>
      <c r="E229" s="4" t="s">
        <v>31</v>
      </c>
      <c r="F229" s="7">
        <v>1060</v>
      </c>
      <c r="G229" s="7">
        <v>442</v>
      </c>
      <c r="H229" s="7">
        <v>319</v>
      </c>
      <c r="I229" s="7">
        <v>57194</v>
      </c>
      <c r="J229" s="7">
        <v>24258</v>
      </c>
      <c r="K229" s="7">
        <v>101</v>
      </c>
      <c r="L229" s="4" t="s">
        <v>19</v>
      </c>
      <c r="M229" s="4" t="s">
        <v>40</v>
      </c>
      <c r="N229" s="4" t="s">
        <v>53</v>
      </c>
      <c r="O229" s="13">
        <f t="shared" si="3"/>
        <v>3.1839004091338254E-2</v>
      </c>
    </row>
    <row r="230" spans="1:15">
      <c r="A230" s="4" t="s">
        <v>263</v>
      </c>
      <c r="B230" s="4" t="s">
        <v>28</v>
      </c>
      <c r="C230" s="111">
        <v>45346</v>
      </c>
      <c r="D230" s="4" t="s">
        <v>14</v>
      </c>
      <c r="E230" s="4" t="s">
        <v>29</v>
      </c>
      <c r="F230" s="7">
        <v>4653</v>
      </c>
      <c r="G230" s="7">
        <v>226</v>
      </c>
      <c r="H230" s="7">
        <v>349</v>
      </c>
      <c r="I230" s="7">
        <v>56876</v>
      </c>
      <c r="J230" s="7">
        <v>28452</v>
      </c>
      <c r="K230" s="7">
        <v>257</v>
      </c>
      <c r="L230" s="4" t="s">
        <v>19</v>
      </c>
      <c r="M230" s="4" t="s">
        <v>364</v>
      </c>
      <c r="N230" s="4" t="s">
        <v>20</v>
      </c>
      <c r="O230" s="13">
        <f t="shared" si="3"/>
        <v>9.191926295801392E-2</v>
      </c>
    </row>
    <row r="231" spans="1:15">
      <c r="A231" s="4" t="s">
        <v>264</v>
      </c>
      <c r="B231" s="4" t="s">
        <v>28</v>
      </c>
      <c r="C231" s="111">
        <v>45791</v>
      </c>
      <c r="D231" s="4" t="s">
        <v>14</v>
      </c>
      <c r="E231" s="4" t="s">
        <v>15</v>
      </c>
      <c r="F231" s="7">
        <v>1701</v>
      </c>
      <c r="G231" s="7">
        <v>272</v>
      </c>
      <c r="H231" s="7">
        <v>385</v>
      </c>
      <c r="I231" s="7">
        <v>47496</v>
      </c>
      <c r="J231" s="7">
        <v>40832</v>
      </c>
      <c r="K231" s="7">
        <v>246</v>
      </c>
      <c r="L231" s="4" t="s">
        <v>19</v>
      </c>
      <c r="M231" s="4" t="s">
        <v>364</v>
      </c>
      <c r="N231" s="4" t="s">
        <v>20</v>
      </c>
      <c r="O231" s="13">
        <f t="shared" si="3"/>
        <v>4.9646286003031836E-2</v>
      </c>
    </row>
    <row r="232" spans="1:15">
      <c r="A232" s="4" t="s">
        <v>265</v>
      </c>
      <c r="B232" s="4" t="s">
        <v>13</v>
      </c>
      <c r="C232" s="111">
        <v>45379</v>
      </c>
      <c r="D232" s="4" t="s">
        <v>14</v>
      </c>
      <c r="E232" s="4" t="s">
        <v>31</v>
      </c>
      <c r="F232" s="7">
        <v>1673</v>
      </c>
      <c r="G232" s="7">
        <v>280</v>
      </c>
      <c r="H232" s="7">
        <v>67</v>
      </c>
      <c r="I232" s="7">
        <v>29847</v>
      </c>
      <c r="J232" s="7">
        <v>48016</v>
      </c>
      <c r="K232" s="7">
        <v>213</v>
      </c>
      <c r="L232" s="4" t="s">
        <v>40</v>
      </c>
      <c r="M232" s="4" t="s">
        <v>37</v>
      </c>
      <c r="N232" s="4" t="s">
        <v>16</v>
      </c>
      <c r="O232" s="13">
        <f t="shared" si="3"/>
        <v>6.76784936509532E-2</v>
      </c>
    </row>
    <row r="233" spans="1:15">
      <c r="A233" s="4" t="s">
        <v>266</v>
      </c>
      <c r="B233" s="4" t="s">
        <v>28</v>
      </c>
      <c r="C233" s="111">
        <v>45723</v>
      </c>
      <c r="D233" s="4" t="s">
        <v>14</v>
      </c>
      <c r="E233" s="4" t="s">
        <v>36</v>
      </c>
      <c r="F233" s="7">
        <v>4310</v>
      </c>
      <c r="G233" s="7">
        <v>284</v>
      </c>
      <c r="H233" s="7">
        <v>306</v>
      </c>
      <c r="I233" s="7">
        <v>44606</v>
      </c>
      <c r="J233" s="7">
        <v>42604</v>
      </c>
      <c r="K233" s="7">
        <v>290</v>
      </c>
      <c r="L233" s="4" t="s">
        <v>19</v>
      </c>
      <c r="M233" s="4" t="s">
        <v>364</v>
      </c>
      <c r="N233" s="4" t="s">
        <v>20</v>
      </c>
      <c r="O233" s="13">
        <f t="shared" si="3"/>
        <v>0.10985069273191947</v>
      </c>
    </row>
    <row r="234" spans="1:15">
      <c r="A234" s="4" t="s">
        <v>267</v>
      </c>
      <c r="B234" s="4" t="s">
        <v>22</v>
      </c>
      <c r="C234" s="111">
        <v>45585</v>
      </c>
      <c r="D234" s="4" t="s">
        <v>14</v>
      </c>
      <c r="E234" s="4" t="s">
        <v>44</v>
      </c>
      <c r="F234" s="7">
        <v>2752</v>
      </c>
      <c r="G234" s="7">
        <v>309</v>
      </c>
      <c r="H234" s="7">
        <v>91</v>
      </c>
      <c r="I234" s="7">
        <v>39038</v>
      </c>
      <c r="J234" s="7">
        <v>28095</v>
      </c>
      <c r="K234" s="7">
        <v>277</v>
      </c>
      <c r="L234" s="4" t="s">
        <v>37</v>
      </c>
      <c r="M234" s="4"/>
      <c r="N234" s="4" t="s">
        <v>16</v>
      </c>
      <c r="O234" s="13">
        <f t="shared" si="3"/>
        <v>8.0741841282852611E-2</v>
      </c>
    </row>
    <row r="235" spans="1:15">
      <c r="A235" s="4" t="s">
        <v>268</v>
      </c>
      <c r="B235" s="4" t="s">
        <v>22</v>
      </c>
      <c r="C235" s="111">
        <v>45324</v>
      </c>
      <c r="D235" s="4" t="s">
        <v>14</v>
      </c>
      <c r="E235" s="4" t="s">
        <v>44</v>
      </c>
      <c r="F235" s="7">
        <v>3818</v>
      </c>
      <c r="G235" s="7">
        <v>115</v>
      </c>
      <c r="H235" s="7">
        <v>286</v>
      </c>
      <c r="I235" s="7">
        <v>25127</v>
      </c>
      <c r="J235" s="7">
        <v>22277</v>
      </c>
      <c r="K235" s="7">
        <v>263</v>
      </c>
      <c r="L235" s="4" t="s">
        <v>37</v>
      </c>
      <c r="M235" s="4"/>
      <c r="N235" s="4" t="s">
        <v>16</v>
      </c>
      <c r="O235" s="13">
        <f t="shared" si="3"/>
        <v>0.16790703227603773</v>
      </c>
    </row>
    <row r="236" spans="1:15">
      <c r="A236" s="4" t="s">
        <v>269</v>
      </c>
      <c r="B236" s="4" t="s">
        <v>28</v>
      </c>
      <c r="C236" s="111">
        <v>45542</v>
      </c>
      <c r="D236" s="4" t="s">
        <v>14</v>
      </c>
      <c r="E236" s="4" t="s">
        <v>46</v>
      </c>
      <c r="F236" s="7">
        <v>2101</v>
      </c>
      <c r="G236" s="7">
        <v>411</v>
      </c>
      <c r="H236" s="7">
        <v>190</v>
      </c>
      <c r="I236" s="7">
        <v>41791</v>
      </c>
      <c r="J236" s="7">
        <v>57090</v>
      </c>
      <c r="K236" s="7">
        <v>172</v>
      </c>
      <c r="L236" s="4" t="s">
        <v>19</v>
      </c>
      <c r="M236" s="4" t="s">
        <v>364</v>
      </c>
      <c r="N236" s="4" t="s">
        <v>20</v>
      </c>
      <c r="O236" s="13">
        <f t="shared" si="3"/>
        <v>6.4655069273288512E-2</v>
      </c>
    </row>
    <row r="237" spans="1:15">
      <c r="A237" s="4" t="s">
        <v>270</v>
      </c>
      <c r="B237" s="4" t="s">
        <v>13</v>
      </c>
      <c r="C237" s="111">
        <v>45646</v>
      </c>
      <c r="D237" s="4" t="s">
        <v>14</v>
      </c>
      <c r="E237" s="4" t="s">
        <v>15</v>
      </c>
      <c r="F237" s="7">
        <v>2519</v>
      </c>
      <c r="G237" s="7">
        <v>202</v>
      </c>
      <c r="H237" s="7">
        <v>239</v>
      </c>
      <c r="I237" s="7">
        <v>36245</v>
      </c>
      <c r="J237" s="7">
        <v>48606</v>
      </c>
      <c r="K237" s="7">
        <v>145</v>
      </c>
      <c r="L237" s="4" t="s">
        <v>19</v>
      </c>
      <c r="M237" s="4"/>
      <c r="N237" s="4" t="s">
        <v>20</v>
      </c>
      <c r="O237" s="13">
        <f t="shared" si="3"/>
        <v>8.1666436749896543E-2</v>
      </c>
    </row>
    <row r="238" spans="1:15">
      <c r="A238" s="4" t="s">
        <v>271</v>
      </c>
      <c r="B238" s="4" t="s">
        <v>28</v>
      </c>
      <c r="C238" s="111">
        <v>45305</v>
      </c>
      <c r="D238" s="4" t="s">
        <v>14</v>
      </c>
      <c r="E238" s="4" t="s">
        <v>31</v>
      </c>
      <c r="F238" s="7">
        <v>4502</v>
      </c>
      <c r="G238" s="7">
        <v>238</v>
      </c>
      <c r="H238" s="7">
        <v>386</v>
      </c>
      <c r="I238" s="7">
        <v>39198</v>
      </c>
      <c r="J238" s="7">
        <v>25050</v>
      </c>
      <c r="K238" s="7">
        <v>297</v>
      </c>
      <c r="L238" s="4" t="s">
        <v>19</v>
      </c>
      <c r="M238" s="4" t="s">
        <v>364</v>
      </c>
      <c r="N238" s="4" t="s">
        <v>20</v>
      </c>
      <c r="O238" s="13">
        <f t="shared" si="3"/>
        <v>0.13077197816215114</v>
      </c>
    </row>
    <row r="239" spans="1:15">
      <c r="A239" s="4" t="s">
        <v>272</v>
      </c>
      <c r="B239" s="4" t="s">
        <v>13</v>
      </c>
      <c r="C239" s="111">
        <v>45823</v>
      </c>
      <c r="D239" s="4" t="s">
        <v>14</v>
      </c>
      <c r="E239" s="4" t="s">
        <v>18</v>
      </c>
      <c r="F239" s="7">
        <v>2478</v>
      </c>
      <c r="G239" s="7">
        <v>427</v>
      </c>
      <c r="H239" s="7">
        <v>242</v>
      </c>
      <c r="I239" s="7">
        <v>59272</v>
      </c>
      <c r="J239" s="7">
        <v>37833</v>
      </c>
      <c r="K239" s="7">
        <v>214</v>
      </c>
      <c r="L239" s="4" t="s">
        <v>40</v>
      </c>
      <c r="M239" s="4" t="s">
        <v>37</v>
      </c>
      <c r="N239" s="4" t="s">
        <v>16</v>
      </c>
      <c r="O239" s="13">
        <f t="shared" si="3"/>
        <v>5.3094209744904843E-2</v>
      </c>
    </row>
    <row r="240" spans="1:15">
      <c r="A240" s="4" t="s">
        <v>273</v>
      </c>
      <c r="B240" s="4" t="s">
        <v>22</v>
      </c>
      <c r="C240" s="111">
        <v>45639</v>
      </c>
      <c r="D240" s="4" t="s">
        <v>23</v>
      </c>
      <c r="E240" s="4" t="s">
        <v>24</v>
      </c>
      <c r="F240" s="7">
        <v>4984</v>
      </c>
      <c r="G240" s="7">
        <v>300</v>
      </c>
      <c r="H240" s="7">
        <v>338</v>
      </c>
      <c r="I240" s="7">
        <v>32900</v>
      </c>
      <c r="J240" s="7">
        <v>31691</v>
      </c>
      <c r="K240" s="7">
        <v>160</v>
      </c>
      <c r="L240" s="4" t="s">
        <v>363</v>
      </c>
      <c r="M240" s="4" t="s">
        <v>37</v>
      </c>
      <c r="N240" s="4" t="s">
        <v>16</v>
      </c>
      <c r="O240" s="13">
        <f t="shared" si="3"/>
        <v>0.17088145896656534</v>
      </c>
    </row>
    <row r="241" spans="1:15">
      <c r="A241" s="4" t="s">
        <v>274</v>
      </c>
      <c r="B241" s="4" t="s">
        <v>28</v>
      </c>
      <c r="C241" s="111">
        <v>45533</v>
      </c>
      <c r="D241" s="4" t="s">
        <v>14</v>
      </c>
      <c r="E241" s="4" t="s">
        <v>26</v>
      </c>
      <c r="F241" s="7">
        <v>4774</v>
      </c>
      <c r="G241" s="7">
        <v>389</v>
      </c>
      <c r="H241" s="7">
        <v>358</v>
      </c>
      <c r="I241" s="7">
        <v>52346</v>
      </c>
      <c r="J241" s="7">
        <v>30518</v>
      </c>
      <c r="K241" s="7">
        <v>277</v>
      </c>
      <c r="L241" s="4" t="s">
        <v>19</v>
      </c>
      <c r="M241" s="4" t="s">
        <v>364</v>
      </c>
      <c r="N241" s="4" t="s">
        <v>20</v>
      </c>
      <c r="O241" s="13">
        <f t="shared" si="3"/>
        <v>0.10547128720437092</v>
      </c>
    </row>
    <row r="242" spans="1:15">
      <c r="A242" s="4" t="s">
        <v>275</v>
      </c>
      <c r="B242" s="4" t="s">
        <v>22</v>
      </c>
      <c r="C242" s="111">
        <v>45550</v>
      </c>
      <c r="D242" s="4" t="s">
        <v>14</v>
      </c>
      <c r="E242" s="4" t="s">
        <v>33</v>
      </c>
      <c r="F242" s="7">
        <v>2145</v>
      </c>
      <c r="G242" s="7">
        <v>340</v>
      </c>
      <c r="H242" s="7">
        <v>85</v>
      </c>
      <c r="I242" s="7">
        <v>53323</v>
      </c>
      <c r="J242" s="7">
        <v>49938</v>
      </c>
      <c r="K242" s="7">
        <v>104</v>
      </c>
      <c r="L242" s="4" t="s">
        <v>37</v>
      </c>
      <c r="M242" s="4"/>
      <c r="N242" s="4" t="s">
        <v>16</v>
      </c>
      <c r="O242" s="13">
        <f t="shared" si="3"/>
        <v>4.819683813738912E-2</v>
      </c>
    </row>
    <row r="243" spans="1:15">
      <c r="A243" s="4" t="s">
        <v>276</v>
      </c>
      <c r="B243" s="4" t="s">
        <v>22</v>
      </c>
      <c r="C243" s="111">
        <v>45759</v>
      </c>
      <c r="D243" s="4" t="s">
        <v>23</v>
      </c>
      <c r="E243" s="4" t="s">
        <v>44</v>
      </c>
      <c r="F243" s="7">
        <v>4315</v>
      </c>
      <c r="G243" s="7">
        <v>208</v>
      </c>
      <c r="H243" s="7">
        <v>273</v>
      </c>
      <c r="I243" s="7">
        <v>35780</v>
      </c>
      <c r="J243" s="7">
        <v>44349</v>
      </c>
      <c r="K243" s="7">
        <v>133</v>
      </c>
      <c r="L243" s="4" t="s">
        <v>19</v>
      </c>
      <c r="M243" s="4" t="s">
        <v>363</v>
      </c>
      <c r="N243" s="4" t="s">
        <v>16</v>
      </c>
      <c r="O243" s="13">
        <f t="shared" si="3"/>
        <v>0.13404136389044158</v>
      </c>
    </row>
    <row r="244" spans="1:15">
      <c r="A244" s="4" t="s">
        <v>277</v>
      </c>
      <c r="B244" s="4" t="s">
        <v>22</v>
      </c>
      <c r="C244" s="111">
        <v>45636</v>
      </c>
      <c r="D244" s="4" t="s">
        <v>23</v>
      </c>
      <c r="E244" s="4" t="s">
        <v>26</v>
      </c>
      <c r="F244" s="7">
        <v>2267</v>
      </c>
      <c r="G244" s="7">
        <v>230</v>
      </c>
      <c r="H244" s="7">
        <v>243</v>
      </c>
      <c r="I244" s="7">
        <v>27904</v>
      </c>
      <c r="J244" s="7">
        <v>69771</v>
      </c>
      <c r="K244" s="7">
        <v>255</v>
      </c>
      <c r="L244" s="4" t="s">
        <v>19</v>
      </c>
      <c r="M244" s="4" t="s">
        <v>363</v>
      </c>
      <c r="N244" s="4" t="s">
        <v>16</v>
      </c>
      <c r="O244" s="13">
        <f t="shared" si="3"/>
        <v>9.8193807339449546E-2</v>
      </c>
    </row>
    <row r="245" spans="1:15">
      <c r="A245" s="4" t="s">
        <v>278</v>
      </c>
      <c r="B245" s="4" t="s">
        <v>28</v>
      </c>
      <c r="C245" s="111">
        <v>45816</v>
      </c>
      <c r="D245" s="4" t="s">
        <v>14</v>
      </c>
      <c r="E245" s="4" t="s">
        <v>29</v>
      </c>
      <c r="F245" s="7">
        <v>4375</v>
      </c>
      <c r="G245" s="7">
        <v>303</v>
      </c>
      <c r="H245" s="7">
        <v>294</v>
      </c>
      <c r="I245" s="7">
        <v>57468</v>
      </c>
      <c r="J245" s="7">
        <v>53397</v>
      </c>
      <c r="K245" s="7">
        <v>159</v>
      </c>
      <c r="L245" s="4" t="s">
        <v>19</v>
      </c>
      <c r="M245" s="4" t="s">
        <v>364</v>
      </c>
      <c r="N245" s="4" t="s">
        <v>20</v>
      </c>
      <c r="O245" s="13">
        <f t="shared" si="3"/>
        <v>8.6517714206166912E-2</v>
      </c>
    </row>
    <row r="246" spans="1:15">
      <c r="A246" s="4" t="s">
        <v>279</v>
      </c>
      <c r="B246" s="4" t="s">
        <v>22</v>
      </c>
      <c r="C246" s="111">
        <v>45666</v>
      </c>
      <c r="D246" s="4" t="s">
        <v>23</v>
      </c>
      <c r="E246" s="4" t="s">
        <v>46</v>
      </c>
      <c r="F246" s="7">
        <v>3817</v>
      </c>
      <c r="G246" s="7">
        <v>284</v>
      </c>
      <c r="H246" s="7">
        <v>204</v>
      </c>
      <c r="I246" s="7">
        <v>46434</v>
      </c>
      <c r="J246" s="7">
        <v>53396</v>
      </c>
      <c r="K246" s="7">
        <v>104</v>
      </c>
      <c r="L246" s="4" t="s">
        <v>363</v>
      </c>
      <c r="M246" s="4" t="s">
        <v>37</v>
      </c>
      <c r="N246" s="4" t="s">
        <v>16</v>
      </c>
      <c r="O246" s="13">
        <f t="shared" si="3"/>
        <v>9.2712236723090841E-2</v>
      </c>
    </row>
    <row r="247" spans="1:15">
      <c r="A247" s="4" t="s">
        <v>280</v>
      </c>
      <c r="B247" s="4" t="s">
        <v>22</v>
      </c>
      <c r="C247" s="111">
        <v>45481</v>
      </c>
      <c r="D247" s="4" t="s">
        <v>23</v>
      </c>
      <c r="E247" s="4" t="s">
        <v>36</v>
      </c>
      <c r="F247" s="7">
        <v>2981</v>
      </c>
      <c r="G247" s="7">
        <v>258</v>
      </c>
      <c r="H247" s="7">
        <v>168</v>
      </c>
      <c r="I247" s="7">
        <v>20677</v>
      </c>
      <c r="J247" s="7">
        <v>68290</v>
      </c>
      <c r="K247" s="7">
        <v>130</v>
      </c>
      <c r="L247" s="4" t="s">
        <v>40</v>
      </c>
      <c r="M247" s="4" t="s">
        <v>37</v>
      </c>
      <c r="N247" s="4" t="s">
        <v>16</v>
      </c>
      <c r="O247" s="13">
        <f t="shared" si="3"/>
        <v>0.16477245248343569</v>
      </c>
    </row>
    <row r="248" spans="1:15">
      <c r="A248" s="4" t="s">
        <v>281</v>
      </c>
      <c r="B248" s="4" t="s">
        <v>22</v>
      </c>
      <c r="C248" s="111">
        <v>45551</v>
      </c>
      <c r="D248" s="4" t="s">
        <v>23</v>
      </c>
      <c r="E248" s="4" t="s">
        <v>46</v>
      </c>
      <c r="F248" s="7">
        <v>3300</v>
      </c>
      <c r="G248" s="7">
        <v>354</v>
      </c>
      <c r="H248" s="7">
        <v>397</v>
      </c>
      <c r="I248" s="7">
        <v>56773</v>
      </c>
      <c r="J248" s="7">
        <v>72110</v>
      </c>
      <c r="K248" s="7">
        <v>163</v>
      </c>
      <c r="L248" s="4" t="s">
        <v>19</v>
      </c>
      <c r="M248" s="4" t="s">
        <v>363</v>
      </c>
      <c r="N248" s="4" t="s">
        <v>16</v>
      </c>
      <c r="O248" s="13">
        <f t="shared" si="3"/>
        <v>7.1354340971940891E-2</v>
      </c>
    </row>
    <row r="249" spans="1:15">
      <c r="A249" s="4" t="s">
        <v>282</v>
      </c>
      <c r="B249" s="4" t="s">
        <v>28</v>
      </c>
      <c r="C249" s="111">
        <v>45457</v>
      </c>
      <c r="D249" s="4" t="s">
        <v>52</v>
      </c>
      <c r="E249" s="4" t="s">
        <v>26</v>
      </c>
      <c r="F249" s="7">
        <v>4722</v>
      </c>
      <c r="G249" s="7">
        <v>310</v>
      </c>
      <c r="H249" s="7">
        <v>344</v>
      </c>
      <c r="I249" s="7">
        <v>27911</v>
      </c>
      <c r="J249" s="7">
        <v>19000</v>
      </c>
      <c r="K249" s="7">
        <v>225</v>
      </c>
      <c r="L249" s="4" t="s">
        <v>19</v>
      </c>
      <c r="M249" s="4" t="s">
        <v>40</v>
      </c>
      <c r="N249" s="4" t="s">
        <v>53</v>
      </c>
      <c r="O249" s="13">
        <f t="shared" si="3"/>
        <v>0.19261223173659131</v>
      </c>
    </row>
    <row r="250" spans="1:15">
      <c r="A250" s="4" t="s">
        <v>283</v>
      </c>
      <c r="B250" s="4" t="s">
        <v>13</v>
      </c>
      <c r="C250" s="111">
        <v>45357</v>
      </c>
      <c r="D250" s="4" t="s">
        <v>14</v>
      </c>
      <c r="E250" s="4" t="s">
        <v>31</v>
      </c>
      <c r="F250" s="7">
        <v>3529</v>
      </c>
      <c r="G250" s="7">
        <v>263</v>
      </c>
      <c r="H250" s="7">
        <v>107</v>
      </c>
      <c r="I250" s="7">
        <v>26570</v>
      </c>
      <c r="J250" s="7">
        <v>19367</v>
      </c>
      <c r="K250" s="7">
        <v>96</v>
      </c>
      <c r="L250" s="4" t="s">
        <v>19</v>
      </c>
      <c r="M250" s="4"/>
      <c r="N250" s="4" t="s">
        <v>20</v>
      </c>
      <c r="O250" s="13">
        <f t="shared" si="3"/>
        <v>0.14674444862627023</v>
      </c>
    </row>
    <row r="251" spans="1:15">
      <c r="A251" s="4" t="s">
        <v>284</v>
      </c>
      <c r="B251" s="4" t="s">
        <v>22</v>
      </c>
      <c r="C251" s="111">
        <v>45792</v>
      </c>
      <c r="D251" s="4" t="s">
        <v>14</v>
      </c>
      <c r="E251" s="4" t="s">
        <v>46</v>
      </c>
      <c r="F251" s="7">
        <v>4782</v>
      </c>
      <c r="G251" s="7">
        <v>210</v>
      </c>
      <c r="H251" s="7">
        <v>311</v>
      </c>
      <c r="I251" s="7">
        <v>29793</v>
      </c>
      <c r="J251" s="7">
        <v>37543</v>
      </c>
      <c r="K251" s="7">
        <v>145</v>
      </c>
      <c r="L251" s="4" t="s">
        <v>37</v>
      </c>
      <c r="M251" s="4"/>
      <c r="N251" s="4" t="s">
        <v>16</v>
      </c>
      <c r="O251" s="13">
        <f t="shared" si="3"/>
        <v>0.17799483100057059</v>
      </c>
    </row>
    <row r="252" spans="1:15">
      <c r="A252" s="4" t="s">
        <v>285</v>
      </c>
      <c r="B252" s="4" t="s">
        <v>22</v>
      </c>
      <c r="C252" s="111">
        <v>45480</v>
      </c>
      <c r="D252" s="4" t="s">
        <v>14</v>
      </c>
      <c r="E252" s="4" t="s">
        <v>31</v>
      </c>
      <c r="F252" s="7">
        <v>1848</v>
      </c>
      <c r="G252" s="7">
        <v>417</v>
      </c>
      <c r="H252" s="7">
        <v>294</v>
      </c>
      <c r="I252" s="7">
        <v>57819</v>
      </c>
      <c r="J252" s="7">
        <v>19798</v>
      </c>
      <c r="K252" s="7">
        <v>262</v>
      </c>
      <c r="L252" s="4" t="s">
        <v>40</v>
      </c>
      <c r="M252" s="4"/>
      <c r="N252" s="4" t="s">
        <v>20</v>
      </c>
      <c r="O252" s="13">
        <f t="shared" si="3"/>
        <v>4.4258807658382193E-2</v>
      </c>
    </row>
    <row r="253" spans="1:15">
      <c r="A253" s="4" t="s">
        <v>286</v>
      </c>
      <c r="B253" s="4" t="s">
        <v>28</v>
      </c>
      <c r="C253" s="111">
        <v>45591</v>
      </c>
      <c r="D253" s="4" t="s">
        <v>14</v>
      </c>
      <c r="E253" s="4" t="s">
        <v>24</v>
      </c>
      <c r="F253" s="7">
        <v>4676</v>
      </c>
      <c r="G253" s="7">
        <v>211</v>
      </c>
      <c r="H253" s="7">
        <v>55</v>
      </c>
      <c r="I253" s="7">
        <v>45917</v>
      </c>
      <c r="J253" s="7">
        <v>73503</v>
      </c>
      <c r="K253" s="7">
        <v>248</v>
      </c>
      <c r="L253" s="4" t="s">
        <v>19</v>
      </c>
      <c r="M253" s="4" t="s">
        <v>364</v>
      </c>
      <c r="N253" s="4" t="s">
        <v>20</v>
      </c>
      <c r="O253" s="13">
        <f t="shared" si="3"/>
        <v>0.10762898272970794</v>
      </c>
    </row>
    <row r="254" spans="1:15">
      <c r="A254" s="4" t="s">
        <v>287</v>
      </c>
      <c r="B254" s="4" t="s">
        <v>28</v>
      </c>
      <c r="C254" s="111">
        <v>45512</v>
      </c>
      <c r="D254" s="4" t="s">
        <v>14</v>
      </c>
      <c r="E254" s="4" t="s">
        <v>44</v>
      </c>
      <c r="F254" s="7">
        <v>1994</v>
      </c>
      <c r="G254" s="7">
        <v>197</v>
      </c>
      <c r="H254" s="7">
        <v>290</v>
      </c>
      <c r="I254" s="7">
        <v>49500</v>
      </c>
      <c r="J254" s="7">
        <v>23343</v>
      </c>
      <c r="K254" s="7">
        <v>160</v>
      </c>
      <c r="L254" s="4" t="s">
        <v>19</v>
      </c>
      <c r="M254" s="4" t="s">
        <v>364</v>
      </c>
      <c r="N254" s="4" t="s">
        <v>20</v>
      </c>
      <c r="O254" s="13">
        <f t="shared" si="3"/>
        <v>5.0121212121212122E-2</v>
      </c>
    </row>
    <row r="255" spans="1:15">
      <c r="A255" s="4" t="s">
        <v>288</v>
      </c>
      <c r="B255" s="4" t="s">
        <v>22</v>
      </c>
      <c r="C255" s="111">
        <v>45691</v>
      </c>
      <c r="D255" s="4" t="s">
        <v>14</v>
      </c>
      <c r="E255" s="4" t="s">
        <v>31</v>
      </c>
      <c r="F255" s="7">
        <v>4995</v>
      </c>
      <c r="G255" s="7">
        <v>231</v>
      </c>
      <c r="H255" s="7">
        <v>94</v>
      </c>
      <c r="I255" s="7">
        <v>34431</v>
      </c>
      <c r="J255" s="7">
        <v>32560</v>
      </c>
      <c r="K255" s="7">
        <v>262</v>
      </c>
      <c r="L255" s="4" t="s">
        <v>37</v>
      </c>
      <c r="M255" s="4"/>
      <c r="N255" s="4" t="s">
        <v>16</v>
      </c>
      <c r="O255" s="13">
        <f t="shared" si="3"/>
        <v>0.15451192239551567</v>
      </c>
    </row>
    <row r="256" spans="1:15">
      <c r="A256" s="4" t="s">
        <v>289</v>
      </c>
      <c r="B256" s="4" t="s">
        <v>22</v>
      </c>
      <c r="C256" s="111">
        <v>45385</v>
      </c>
      <c r="D256" s="4" t="s">
        <v>23</v>
      </c>
      <c r="E256" s="4" t="s">
        <v>36</v>
      </c>
      <c r="F256" s="7">
        <v>2291</v>
      </c>
      <c r="G256" s="7">
        <v>146</v>
      </c>
      <c r="H256" s="7">
        <v>399</v>
      </c>
      <c r="I256" s="7">
        <v>49319</v>
      </c>
      <c r="J256" s="7">
        <v>28056</v>
      </c>
      <c r="K256" s="7">
        <v>90</v>
      </c>
      <c r="L256" s="4" t="s">
        <v>19</v>
      </c>
      <c r="M256" s="4" t="s">
        <v>363</v>
      </c>
      <c r="N256" s="4" t="s">
        <v>16</v>
      </c>
      <c r="O256" s="13">
        <f t="shared" si="3"/>
        <v>5.7503193495407452E-2</v>
      </c>
    </row>
    <row r="257" spans="1:15">
      <c r="A257" s="4" t="s">
        <v>290</v>
      </c>
      <c r="B257" s="4" t="s">
        <v>22</v>
      </c>
      <c r="C257" s="111">
        <v>45481</v>
      </c>
      <c r="D257" s="4" t="s">
        <v>23</v>
      </c>
      <c r="E257" s="4" t="s">
        <v>26</v>
      </c>
      <c r="F257" s="7">
        <v>2304</v>
      </c>
      <c r="G257" s="7">
        <v>289</v>
      </c>
      <c r="H257" s="7">
        <v>161</v>
      </c>
      <c r="I257" s="7">
        <v>52645</v>
      </c>
      <c r="J257" s="7">
        <v>66262</v>
      </c>
      <c r="K257" s="7">
        <v>146</v>
      </c>
      <c r="L257" s="4" t="s">
        <v>363</v>
      </c>
      <c r="M257" s="4" t="s">
        <v>37</v>
      </c>
      <c r="N257" s="4" t="s">
        <v>16</v>
      </c>
      <c r="O257" s="13">
        <f t="shared" si="3"/>
        <v>5.2312660271630736E-2</v>
      </c>
    </row>
    <row r="258" spans="1:15">
      <c r="A258" s="4" t="s">
        <v>291</v>
      </c>
      <c r="B258" s="4" t="s">
        <v>22</v>
      </c>
      <c r="C258" s="111">
        <v>45451</v>
      </c>
      <c r="D258" s="4" t="s">
        <v>23</v>
      </c>
      <c r="E258" s="4" t="s">
        <v>36</v>
      </c>
      <c r="F258" s="7">
        <v>3413</v>
      </c>
      <c r="G258" s="7">
        <v>326</v>
      </c>
      <c r="H258" s="7">
        <v>86</v>
      </c>
      <c r="I258" s="7">
        <v>44680</v>
      </c>
      <c r="J258" s="7">
        <v>52719</v>
      </c>
      <c r="K258" s="7">
        <v>272</v>
      </c>
      <c r="L258" s="4" t="s">
        <v>19</v>
      </c>
      <c r="M258" s="4" t="s">
        <v>363</v>
      </c>
      <c r="N258" s="4" t="s">
        <v>16</v>
      </c>
      <c r="O258" s="13">
        <f t="shared" ref="O258:O301" si="4">(F258+H258+G258)/I258</f>
        <v>8.5608773500447627E-2</v>
      </c>
    </row>
    <row r="259" spans="1:15">
      <c r="A259" s="4" t="s">
        <v>292</v>
      </c>
      <c r="B259" s="4" t="s">
        <v>28</v>
      </c>
      <c r="C259" s="111">
        <v>45736</v>
      </c>
      <c r="D259" s="4" t="s">
        <v>52</v>
      </c>
      <c r="E259" s="4" t="s">
        <v>44</v>
      </c>
      <c r="F259" s="7">
        <v>1453</v>
      </c>
      <c r="G259" s="7">
        <v>156</v>
      </c>
      <c r="H259" s="7">
        <v>178</v>
      </c>
      <c r="I259" s="7">
        <v>52980</v>
      </c>
      <c r="J259" s="7">
        <v>57180</v>
      </c>
      <c r="K259" s="7">
        <v>286</v>
      </c>
      <c r="L259" s="4" t="s">
        <v>19</v>
      </c>
      <c r="M259" s="4" t="s">
        <v>40</v>
      </c>
      <c r="N259" s="4" t="s">
        <v>53</v>
      </c>
      <c r="O259" s="13">
        <f t="shared" si="4"/>
        <v>3.3729709324273313E-2</v>
      </c>
    </row>
    <row r="260" spans="1:15">
      <c r="A260" s="4" t="s">
        <v>293</v>
      </c>
      <c r="B260" s="4" t="s">
        <v>22</v>
      </c>
      <c r="C260" s="111">
        <v>45676</v>
      </c>
      <c r="D260" s="4" t="s">
        <v>23</v>
      </c>
      <c r="E260" s="4" t="s">
        <v>29</v>
      </c>
      <c r="F260" s="7">
        <v>1651</v>
      </c>
      <c r="G260" s="7">
        <v>480</v>
      </c>
      <c r="H260" s="7">
        <v>282</v>
      </c>
      <c r="I260" s="7">
        <v>32140</v>
      </c>
      <c r="J260" s="7">
        <v>70560</v>
      </c>
      <c r="K260" s="7">
        <v>138</v>
      </c>
      <c r="L260" s="4" t="s">
        <v>40</v>
      </c>
      <c r="M260" s="4" t="s">
        <v>37</v>
      </c>
      <c r="N260" s="4" t="s">
        <v>16</v>
      </c>
      <c r="O260" s="13">
        <f t="shared" si="4"/>
        <v>7.5077784691972627E-2</v>
      </c>
    </row>
    <row r="261" spans="1:15">
      <c r="A261" s="4" t="s">
        <v>294</v>
      </c>
      <c r="B261" s="4" t="s">
        <v>22</v>
      </c>
      <c r="C261" s="111">
        <v>45662</v>
      </c>
      <c r="D261" s="4" t="s">
        <v>23</v>
      </c>
      <c r="E261" s="4" t="s">
        <v>18</v>
      </c>
      <c r="F261" s="7">
        <v>3341</v>
      </c>
      <c r="G261" s="7">
        <v>154</v>
      </c>
      <c r="H261" s="7">
        <v>123</v>
      </c>
      <c r="I261" s="7">
        <v>43369</v>
      </c>
      <c r="J261" s="7">
        <v>49035</v>
      </c>
      <c r="K261" s="7">
        <v>128</v>
      </c>
      <c r="L261" s="4" t="s">
        <v>363</v>
      </c>
      <c r="M261" s="4" t="s">
        <v>37</v>
      </c>
      <c r="N261" s="4" t="s">
        <v>16</v>
      </c>
      <c r="O261" s="13">
        <f t="shared" si="4"/>
        <v>8.3423643616408028E-2</v>
      </c>
    </row>
    <row r="262" spans="1:15">
      <c r="A262" s="4" t="s">
        <v>295</v>
      </c>
      <c r="B262" s="4" t="s">
        <v>22</v>
      </c>
      <c r="C262" s="111">
        <v>45612</v>
      </c>
      <c r="D262" s="4" t="s">
        <v>14</v>
      </c>
      <c r="E262" s="4" t="s">
        <v>44</v>
      </c>
      <c r="F262" s="7">
        <v>2972</v>
      </c>
      <c r="G262" s="7">
        <v>263</v>
      </c>
      <c r="H262" s="7">
        <v>308</v>
      </c>
      <c r="I262" s="7">
        <v>51740</v>
      </c>
      <c r="J262" s="7">
        <v>28214</v>
      </c>
      <c r="K262" s="7">
        <v>190</v>
      </c>
      <c r="L262" s="4" t="s">
        <v>40</v>
      </c>
      <c r="M262" s="4"/>
      <c r="N262" s="4" t="s">
        <v>20</v>
      </c>
      <c r="O262" s="13">
        <f t="shared" si="4"/>
        <v>6.8477000386548123E-2</v>
      </c>
    </row>
    <row r="263" spans="1:15">
      <c r="A263" s="4" t="s">
        <v>296</v>
      </c>
      <c r="B263" s="4" t="s">
        <v>22</v>
      </c>
      <c r="C263" s="111">
        <v>45626</v>
      </c>
      <c r="D263" s="4" t="s">
        <v>23</v>
      </c>
      <c r="E263" s="4" t="s">
        <v>18</v>
      </c>
      <c r="F263" s="7">
        <v>4963</v>
      </c>
      <c r="G263" s="7">
        <v>255</v>
      </c>
      <c r="H263" s="7">
        <v>193</v>
      </c>
      <c r="I263" s="7">
        <v>44386</v>
      </c>
      <c r="J263" s="7">
        <v>28415</v>
      </c>
      <c r="K263" s="7">
        <v>174</v>
      </c>
      <c r="L263" s="4" t="s">
        <v>363</v>
      </c>
      <c r="M263" s="4" t="s">
        <v>37</v>
      </c>
      <c r="N263" s="4" t="s">
        <v>16</v>
      </c>
      <c r="O263" s="13">
        <f t="shared" si="4"/>
        <v>0.12190780876853062</v>
      </c>
    </row>
    <row r="264" spans="1:15">
      <c r="A264" s="4" t="s">
        <v>297</v>
      </c>
      <c r="B264" s="4" t="s">
        <v>28</v>
      </c>
      <c r="C264" s="111">
        <v>45378</v>
      </c>
      <c r="D264" s="4" t="s">
        <v>14</v>
      </c>
      <c r="E264" s="4" t="s">
        <v>29</v>
      </c>
      <c r="F264" s="7">
        <v>2399</v>
      </c>
      <c r="G264" s="7">
        <v>191</v>
      </c>
      <c r="H264" s="7">
        <v>221</v>
      </c>
      <c r="I264" s="7">
        <v>51603</v>
      </c>
      <c r="J264" s="7">
        <v>40033</v>
      </c>
      <c r="K264" s="7">
        <v>173</v>
      </c>
      <c r="L264" s="4" t="s">
        <v>19</v>
      </c>
      <c r="M264" s="4" t="s">
        <v>364</v>
      </c>
      <c r="N264" s="4" t="s">
        <v>20</v>
      </c>
      <c r="O264" s="13">
        <f t="shared" si="4"/>
        <v>5.4473577117609438E-2</v>
      </c>
    </row>
    <row r="265" spans="1:15">
      <c r="A265" s="4" t="s">
        <v>298</v>
      </c>
      <c r="B265" s="4" t="s">
        <v>28</v>
      </c>
      <c r="C265" s="111">
        <v>45808</v>
      </c>
      <c r="D265" s="4" t="s">
        <v>52</v>
      </c>
      <c r="E265" s="4" t="s">
        <v>33</v>
      </c>
      <c r="F265" s="7">
        <v>2162</v>
      </c>
      <c r="G265" s="7">
        <v>318</v>
      </c>
      <c r="H265" s="7">
        <v>83</v>
      </c>
      <c r="I265" s="7">
        <v>46719</v>
      </c>
      <c r="J265" s="7">
        <v>20482</v>
      </c>
      <c r="K265" s="7">
        <v>185</v>
      </c>
      <c r="L265" s="4" t="s">
        <v>19</v>
      </c>
      <c r="M265" s="4" t="s">
        <v>40</v>
      </c>
      <c r="N265" s="4" t="s">
        <v>53</v>
      </c>
      <c r="O265" s="13">
        <f t="shared" si="4"/>
        <v>5.4859907104176028E-2</v>
      </c>
    </row>
    <row r="266" spans="1:15">
      <c r="A266" s="4" t="s">
        <v>299</v>
      </c>
      <c r="B266" s="4" t="s">
        <v>22</v>
      </c>
      <c r="C266" s="111">
        <v>45825</v>
      </c>
      <c r="D266" s="4" t="s">
        <v>23</v>
      </c>
      <c r="E266" s="4" t="s">
        <v>18</v>
      </c>
      <c r="F266" s="7">
        <v>4341</v>
      </c>
      <c r="G266" s="7">
        <v>141</v>
      </c>
      <c r="H266" s="7">
        <v>63</v>
      </c>
      <c r="I266" s="7">
        <v>50081</v>
      </c>
      <c r="J266" s="7">
        <v>27507</v>
      </c>
      <c r="K266" s="7">
        <v>221</v>
      </c>
      <c r="L266" s="4" t="s">
        <v>19</v>
      </c>
      <c r="M266" s="4" t="s">
        <v>363</v>
      </c>
      <c r="N266" s="4" t="s">
        <v>16</v>
      </c>
      <c r="O266" s="13">
        <f t="shared" si="4"/>
        <v>9.0752980172121162E-2</v>
      </c>
    </row>
    <row r="267" spans="1:15">
      <c r="A267" s="4" t="s">
        <v>300</v>
      </c>
      <c r="B267" s="4" t="s">
        <v>13</v>
      </c>
      <c r="C267" s="111">
        <v>45442</v>
      </c>
      <c r="D267" s="4" t="s">
        <v>23</v>
      </c>
      <c r="E267" s="4" t="s">
        <v>33</v>
      </c>
      <c r="F267" s="7">
        <v>2448</v>
      </c>
      <c r="G267" s="7">
        <v>464</v>
      </c>
      <c r="H267" s="7">
        <v>98</v>
      </c>
      <c r="I267" s="7">
        <v>25737</v>
      </c>
      <c r="J267" s="7">
        <v>48545</v>
      </c>
      <c r="K267" s="7">
        <v>246</v>
      </c>
      <c r="L267" s="4" t="s">
        <v>37</v>
      </c>
      <c r="M267" s="4"/>
      <c r="N267" s="4" t="s">
        <v>50</v>
      </c>
      <c r="O267" s="13">
        <f t="shared" si="4"/>
        <v>0.11695224773672146</v>
      </c>
    </row>
    <row r="268" spans="1:15">
      <c r="A268" s="4" t="s">
        <v>301</v>
      </c>
      <c r="B268" s="4" t="s">
        <v>28</v>
      </c>
      <c r="C268" s="111">
        <v>45604</v>
      </c>
      <c r="D268" s="4" t="s">
        <v>14</v>
      </c>
      <c r="E268" s="4" t="s">
        <v>36</v>
      </c>
      <c r="F268" s="7">
        <v>2471</v>
      </c>
      <c r="G268" s="7">
        <v>166</v>
      </c>
      <c r="H268" s="7">
        <v>320</v>
      </c>
      <c r="I268" s="7">
        <v>48254</v>
      </c>
      <c r="J268" s="7">
        <v>46900</v>
      </c>
      <c r="K268" s="7">
        <v>111</v>
      </c>
      <c r="L268" s="4" t="s">
        <v>19</v>
      </c>
      <c r="M268" s="4" t="s">
        <v>364</v>
      </c>
      <c r="N268" s="4" t="s">
        <v>20</v>
      </c>
      <c r="O268" s="13">
        <f t="shared" si="4"/>
        <v>6.1279893894806647E-2</v>
      </c>
    </row>
    <row r="269" spans="1:15">
      <c r="A269" s="4" t="s">
        <v>302</v>
      </c>
      <c r="B269" s="4" t="s">
        <v>28</v>
      </c>
      <c r="C269" s="111">
        <v>45368</v>
      </c>
      <c r="D269" s="4" t="s">
        <v>52</v>
      </c>
      <c r="E269" s="4" t="s">
        <v>18</v>
      </c>
      <c r="F269" s="7">
        <v>2692</v>
      </c>
      <c r="G269" s="7">
        <v>446</v>
      </c>
      <c r="H269" s="7">
        <v>216</v>
      </c>
      <c r="I269" s="7">
        <v>45818</v>
      </c>
      <c r="J269" s="7">
        <v>62723</v>
      </c>
      <c r="K269" s="7">
        <v>85</v>
      </c>
      <c r="L269" s="4" t="s">
        <v>19</v>
      </c>
      <c r="M269" s="4" t="s">
        <v>40</v>
      </c>
      <c r="N269" s="4" t="s">
        <v>53</v>
      </c>
      <c r="O269" s="13">
        <f t="shared" si="4"/>
        <v>7.3202671439172376E-2</v>
      </c>
    </row>
    <row r="270" spans="1:15">
      <c r="A270" s="4" t="s">
        <v>303</v>
      </c>
      <c r="B270" s="4" t="s">
        <v>28</v>
      </c>
      <c r="C270" s="111">
        <v>45464</v>
      </c>
      <c r="D270" s="4" t="s">
        <v>52</v>
      </c>
      <c r="E270" s="4" t="s">
        <v>29</v>
      </c>
      <c r="F270" s="7">
        <v>4621</v>
      </c>
      <c r="G270" s="7">
        <v>374</v>
      </c>
      <c r="H270" s="7">
        <v>298</v>
      </c>
      <c r="I270" s="7">
        <v>56979</v>
      </c>
      <c r="J270" s="7">
        <v>24098</v>
      </c>
      <c r="K270" s="7">
        <v>205</v>
      </c>
      <c r="L270" s="4" t="s">
        <v>19</v>
      </c>
      <c r="M270" s="4" t="s">
        <v>40</v>
      </c>
      <c r="N270" s="4" t="s">
        <v>53</v>
      </c>
      <c r="O270" s="13">
        <f t="shared" si="4"/>
        <v>9.2893873181347508E-2</v>
      </c>
    </row>
    <row r="271" spans="1:15">
      <c r="A271" s="4" t="s">
        <v>304</v>
      </c>
      <c r="B271" s="4" t="s">
        <v>22</v>
      </c>
      <c r="C271" s="111">
        <v>45609</v>
      </c>
      <c r="D271" s="4" t="s">
        <v>23</v>
      </c>
      <c r="E271" s="4" t="s">
        <v>24</v>
      </c>
      <c r="F271" s="7">
        <v>1409</v>
      </c>
      <c r="G271" s="7">
        <v>466</v>
      </c>
      <c r="H271" s="7">
        <v>105</v>
      </c>
      <c r="I271" s="7">
        <v>58923</v>
      </c>
      <c r="J271" s="7">
        <v>38753</v>
      </c>
      <c r="K271" s="7">
        <v>265</v>
      </c>
      <c r="L271" s="4" t="s">
        <v>19</v>
      </c>
      <c r="M271" s="4" t="s">
        <v>363</v>
      </c>
      <c r="N271" s="4" t="s">
        <v>16</v>
      </c>
      <c r="O271" s="13">
        <f t="shared" si="4"/>
        <v>3.3603177027646251E-2</v>
      </c>
    </row>
    <row r="272" spans="1:15">
      <c r="A272" s="4" t="s">
        <v>305</v>
      </c>
      <c r="B272" s="4" t="s">
        <v>22</v>
      </c>
      <c r="C272" s="111">
        <v>45693</v>
      </c>
      <c r="D272" s="4" t="s">
        <v>23</v>
      </c>
      <c r="E272" s="4" t="s">
        <v>15</v>
      </c>
      <c r="F272" s="7">
        <v>3029</v>
      </c>
      <c r="G272" s="7">
        <v>440</v>
      </c>
      <c r="H272" s="7">
        <v>66</v>
      </c>
      <c r="I272" s="7">
        <v>23815</v>
      </c>
      <c r="J272" s="7">
        <v>47895</v>
      </c>
      <c r="K272" s="7">
        <v>210</v>
      </c>
      <c r="L272" s="4" t="s">
        <v>19</v>
      </c>
      <c r="M272" s="4" t="s">
        <v>363</v>
      </c>
      <c r="N272" s="4" t="s">
        <v>16</v>
      </c>
      <c r="O272" s="13">
        <f t="shared" si="4"/>
        <v>0.14843585975225698</v>
      </c>
    </row>
    <row r="273" spans="1:15">
      <c r="A273" s="4" t="s">
        <v>306</v>
      </c>
      <c r="B273" s="4" t="s">
        <v>22</v>
      </c>
      <c r="C273" s="111">
        <v>45603</v>
      </c>
      <c r="D273" s="4" t="s">
        <v>14</v>
      </c>
      <c r="E273" s="4" t="s">
        <v>18</v>
      </c>
      <c r="F273" s="7">
        <v>2229</v>
      </c>
      <c r="G273" s="7">
        <v>395</v>
      </c>
      <c r="H273" s="7">
        <v>328</v>
      </c>
      <c r="I273" s="7">
        <v>56921</v>
      </c>
      <c r="J273" s="7">
        <v>37176</v>
      </c>
      <c r="K273" s="7">
        <v>126</v>
      </c>
      <c r="L273" s="4" t="s">
        <v>40</v>
      </c>
      <c r="M273" s="4"/>
      <c r="N273" s="4" t="s">
        <v>20</v>
      </c>
      <c r="O273" s="13">
        <f t="shared" si="4"/>
        <v>5.1861351697967357E-2</v>
      </c>
    </row>
    <row r="274" spans="1:15">
      <c r="A274" s="4" t="s">
        <v>307</v>
      </c>
      <c r="B274" s="4" t="s">
        <v>22</v>
      </c>
      <c r="C274" s="111">
        <v>45334</v>
      </c>
      <c r="D274" s="4" t="s">
        <v>14</v>
      </c>
      <c r="E274" s="4" t="s">
        <v>18</v>
      </c>
      <c r="F274" s="7">
        <v>2691</v>
      </c>
      <c r="G274" s="7">
        <v>486</v>
      </c>
      <c r="H274" s="7">
        <v>206</v>
      </c>
      <c r="I274" s="7">
        <v>51133</v>
      </c>
      <c r="J274" s="7">
        <v>44583</v>
      </c>
      <c r="K274" s="7">
        <v>276</v>
      </c>
      <c r="L274" s="4" t="s">
        <v>37</v>
      </c>
      <c r="M274" s="4"/>
      <c r="N274" s="4" t="s">
        <v>16</v>
      </c>
      <c r="O274" s="13">
        <f t="shared" si="4"/>
        <v>6.6160796354604659E-2</v>
      </c>
    </row>
    <row r="275" spans="1:15">
      <c r="A275" s="4" t="s">
        <v>308</v>
      </c>
      <c r="B275" s="4" t="s">
        <v>13</v>
      </c>
      <c r="C275" s="111">
        <v>45573</v>
      </c>
      <c r="D275" s="4" t="s">
        <v>14</v>
      </c>
      <c r="E275" s="4" t="s">
        <v>18</v>
      </c>
      <c r="F275" s="7">
        <v>2110</v>
      </c>
      <c r="G275" s="7">
        <v>384</v>
      </c>
      <c r="H275" s="7">
        <v>236</v>
      </c>
      <c r="I275" s="7">
        <v>49965</v>
      </c>
      <c r="J275" s="7">
        <v>61555</v>
      </c>
      <c r="K275" s="7">
        <v>195</v>
      </c>
      <c r="L275" s="4" t="s">
        <v>19</v>
      </c>
      <c r="M275" s="4"/>
      <c r="N275" s="4" t="s">
        <v>20</v>
      </c>
      <c r="O275" s="13">
        <f t="shared" si="4"/>
        <v>5.4638246772740921E-2</v>
      </c>
    </row>
    <row r="276" spans="1:15">
      <c r="A276" s="4" t="s">
        <v>309</v>
      </c>
      <c r="B276" s="4" t="s">
        <v>13</v>
      </c>
      <c r="C276" s="111">
        <v>45341</v>
      </c>
      <c r="D276" s="4" t="s">
        <v>14</v>
      </c>
      <c r="E276" s="4" t="s">
        <v>26</v>
      </c>
      <c r="F276" s="7">
        <v>4752</v>
      </c>
      <c r="G276" s="7">
        <v>449</v>
      </c>
      <c r="H276" s="7">
        <v>309</v>
      </c>
      <c r="I276" s="7">
        <v>58530</v>
      </c>
      <c r="J276" s="7">
        <v>26630</v>
      </c>
      <c r="K276" s="7">
        <v>234</v>
      </c>
      <c r="L276" s="4" t="s">
        <v>19</v>
      </c>
      <c r="M276" s="4"/>
      <c r="N276" s="4" t="s">
        <v>20</v>
      </c>
      <c r="O276" s="13">
        <f t="shared" si="4"/>
        <v>9.4139757389372969E-2</v>
      </c>
    </row>
    <row r="277" spans="1:15">
      <c r="A277" s="4" t="s">
        <v>310</v>
      </c>
      <c r="B277" s="4" t="s">
        <v>22</v>
      </c>
      <c r="C277" s="111">
        <v>45720</v>
      </c>
      <c r="D277" s="4" t="s">
        <v>14</v>
      </c>
      <c r="E277" s="4" t="s">
        <v>15</v>
      </c>
      <c r="F277" s="7">
        <v>2177</v>
      </c>
      <c r="G277" s="7">
        <v>258</v>
      </c>
      <c r="H277" s="7">
        <v>292</v>
      </c>
      <c r="I277" s="7">
        <v>47276</v>
      </c>
      <c r="J277" s="7">
        <v>51324</v>
      </c>
      <c r="K277" s="7">
        <v>143</v>
      </c>
      <c r="L277" s="4" t="s">
        <v>37</v>
      </c>
      <c r="M277" s="4"/>
      <c r="N277" s="4" t="s">
        <v>16</v>
      </c>
      <c r="O277" s="13">
        <f t="shared" si="4"/>
        <v>5.7682545054573146E-2</v>
      </c>
    </row>
    <row r="278" spans="1:15">
      <c r="A278" s="4" t="s">
        <v>311</v>
      </c>
      <c r="B278" s="4" t="s">
        <v>13</v>
      </c>
      <c r="C278" s="111">
        <v>45691</v>
      </c>
      <c r="D278" s="4" t="s">
        <v>23</v>
      </c>
      <c r="E278" s="4" t="s">
        <v>24</v>
      </c>
      <c r="F278" s="7">
        <v>1205</v>
      </c>
      <c r="G278" s="7">
        <v>486</v>
      </c>
      <c r="H278" s="7">
        <v>269</v>
      </c>
      <c r="I278" s="7">
        <v>23341</v>
      </c>
      <c r="J278" s="7">
        <v>42411</v>
      </c>
      <c r="K278" s="7">
        <v>184</v>
      </c>
      <c r="L278" s="4" t="s">
        <v>37</v>
      </c>
      <c r="M278" s="4"/>
      <c r="N278" s="4" t="s">
        <v>50</v>
      </c>
      <c r="O278" s="13">
        <f t="shared" si="4"/>
        <v>8.3972409065592737E-2</v>
      </c>
    </row>
    <row r="279" spans="1:15">
      <c r="A279" s="4" t="s">
        <v>312</v>
      </c>
      <c r="B279" s="4" t="s">
        <v>13</v>
      </c>
      <c r="C279" s="111">
        <v>45628</v>
      </c>
      <c r="D279" s="4" t="s">
        <v>14</v>
      </c>
      <c r="E279" s="4" t="s">
        <v>36</v>
      </c>
      <c r="F279" s="7">
        <v>3194</v>
      </c>
      <c r="G279" s="7">
        <v>292</v>
      </c>
      <c r="H279" s="7">
        <v>245</v>
      </c>
      <c r="I279" s="7">
        <v>56371</v>
      </c>
      <c r="J279" s="7">
        <v>65597</v>
      </c>
      <c r="K279" s="7">
        <v>163</v>
      </c>
      <c r="L279" s="4" t="s">
        <v>40</v>
      </c>
      <c r="M279" s="4" t="s">
        <v>37</v>
      </c>
      <c r="N279" s="4" t="s">
        <v>16</v>
      </c>
      <c r="O279" s="13">
        <f t="shared" si="4"/>
        <v>6.6186514342481059E-2</v>
      </c>
    </row>
    <row r="280" spans="1:15">
      <c r="A280" s="4" t="s">
        <v>313</v>
      </c>
      <c r="B280" s="4" t="s">
        <v>22</v>
      </c>
      <c r="C280" s="111">
        <v>45676</v>
      </c>
      <c r="D280" s="4" t="s">
        <v>23</v>
      </c>
      <c r="E280" s="4" t="s">
        <v>24</v>
      </c>
      <c r="F280" s="7">
        <v>3507</v>
      </c>
      <c r="G280" s="7">
        <v>295</v>
      </c>
      <c r="H280" s="7">
        <v>371</v>
      </c>
      <c r="I280" s="7">
        <v>20410</v>
      </c>
      <c r="J280" s="7">
        <v>53965</v>
      </c>
      <c r="K280" s="7">
        <v>212</v>
      </c>
      <c r="L280" s="4" t="s">
        <v>40</v>
      </c>
      <c r="M280" s="4" t="s">
        <v>37</v>
      </c>
      <c r="N280" s="4" t="s">
        <v>16</v>
      </c>
      <c r="O280" s="13">
        <f t="shared" si="4"/>
        <v>0.20445859872611466</v>
      </c>
    </row>
    <row r="281" spans="1:15">
      <c r="A281" s="4" t="s">
        <v>314</v>
      </c>
      <c r="B281" s="4" t="s">
        <v>22</v>
      </c>
      <c r="C281" s="111">
        <v>45563</v>
      </c>
      <c r="D281" s="4" t="s">
        <v>23</v>
      </c>
      <c r="E281" s="4" t="s">
        <v>26</v>
      </c>
      <c r="F281" s="7">
        <v>4471</v>
      </c>
      <c r="G281" s="7">
        <v>317</v>
      </c>
      <c r="H281" s="7">
        <v>249</v>
      </c>
      <c r="I281" s="7">
        <v>44862</v>
      </c>
      <c r="J281" s="7">
        <v>33365</v>
      </c>
      <c r="K281" s="7">
        <v>184</v>
      </c>
      <c r="L281" s="4" t="s">
        <v>19</v>
      </c>
      <c r="M281" s="4" t="s">
        <v>363</v>
      </c>
      <c r="N281" s="4" t="s">
        <v>16</v>
      </c>
      <c r="O281" s="13">
        <f t="shared" si="4"/>
        <v>0.1122776514644911</v>
      </c>
    </row>
    <row r="282" spans="1:15">
      <c r="A282" s="4" t="s">
        <v>315</v>
      </c>
      <c r="B282" s="4" t="s">
        <v>13</v>
      </c>
      <c r="C282" s="111">
        <v>45298</v>
      </c>
      <c r="D282" s="4" t="s">
        <v>14</v>
      </c>
      <c r="E282" s="4" t="s">
        <v>36</v>
      </c>
      <c r="F282" s="7">
        <v>4931</v>
      </c>
      <c r="G282" s="7">
        <v>469</v>
      </c>
      <c r="H282" s="7">
        <v>193</v>
      </c>
      <c r="I282" s="7">
        <v>56701</v>
      </c>
      <c r="J282" s="7">
        <v>69437</v>
      </c>
      <c r="K282" s="7">
        <v>291</v>
      </c>
      <c r="L282" s="4" t="s">
        <v>40</v>
      </c>
      <c r="M282" s="4" t="s">
        <v>37</v>
      </c>
      <c r="N282" s="4" t="s">
        <v>16</v>
      </c>
      <c r="O282" s="13">
        <f t="shared" si="4"/>
        <v>9.8640235621946709E-2</v>
      </c>
    </row>
    <row r="283" spans="1:15">
      <c r="A283" s="4" t="s">
        <v>316</v>
      </c>
      <c r="B283" s="4" t="s">
        <v>22</v>
      </c>
      <c r="C283" s="111">
        <v>45343</v>
      </c>
      <c r="D283" s="4" t="s">
        <v>23</v>
      </c>
      <c r="E283" s="4" t="s">
        <v>33</v>
      </c>
      <c r="F283" s="7">
        <v>2604</v>
      </c>
      <c r="G283" s="7">
        <v>439</v>
      </c>
      <c r="H283" s="7">
        <v>148</v>
      </c>
      <c r="I283" s="7">
        <v>58468</v>
      </c>
      <c r="J283" s="7">
        <v>39629</v>
      </c>
      <c r="K283" s="7">
        <v>163</v>
      </c>
      <c r="L283" s="4" t="s">
        <v>363</v>
      </c>
      <c r="M283" s="4" t="s">
        <v>37</v>
      </c>
      <c r="N283" s="4" t="s">
        <v>16</v>
      </c>
      <c r="O283" s="13">
        <f t="shared" si="4"/>
        <v>5.4576862557296296E-2</v>
      </c>
    </row>
    <row r="284" spans="1:15">
      <c r="A284" s="4" t="s">
        <v>317</v>
      </c>
      <c r="B284" s="4" t="s">
        <v>13</v>
      </c>
      <c r="C284" s="111">
        <v>45531</v>
      </c>
      <c r="D284" s="4" t="s">
        <v>14</v>
      </c>
      <c r="E284" s="4" t="s">
        <v>29</v>
      </c>
      <c r="F284" s="7">
        <v>4197</v>
      </c>
      <c r="G284" s="7">
        <v>359</v>
      </c>
      <c r="H284" s="7">
        <v>280</v>
      </c>
      <c r="I284" s="7">
        <v>56048</v>
      </c>
      <c r="J284" s="7">
        <v>70930</v>
      </c>
      <c r="K284" s="7">
        <v>295</v>
      </c>
      <c r="L284" s="4" t="s">
        <v>19</v>
      </c>
      <c r="M284" s="4"/>
      <c r="N284" s="4" t="s">
        <v>20</v>
      </c>
      <c r="O284" s="13">
        <f t="shared" si="4"/>
        <v>8.628318584070796E-2</v>
      </c>
    </row>
    <row r="285" spans="1:15">
      <c r="A285" s="4" t="s">
        <v>318</v>
      </c>
      <c r="B285" s="4" t="s">
        <v>13</v>
      </c>
      <c r="C285" s="111">
        <v>45589</v>
      </c>
      <c r="D285" s="4" t="s">
        <v>23</v>
      </c>
      <c r="E285" s="4" t="s">
        <v>36</v>
      </c>
      <c r="F285" s="7">
        <v>1914</v>
      </c>
      <c r="G285" s="7">
        <v>255</v>
      </c>
      <c r="H285" s="7">
        <v>156</v>
      </c>
      <c r="I285" s="7">
        <v>27660</v>
      </c>
      <c r="J285" s="7">
        <v>47776</v>
      </c>
      <c r="K285" s="7">
        <v>111</v>
      </c>
      <c r="L285" s="4" t="s">
        <v>37</v>
      </c>
      <c r="M285" s="4"/>
      <c r="N285" s="4" t="s">
        <v>50</v>
      </c>
      <c r="O285" s="13">
        <f t="shared" si="4"/>
        <v>8.4056399132321047E-2</v>
      </c>
    </row>
    <row r="286" spans="1:15">
      <c r="A286" s="4" t="s">
        <v>319</v>
      </c>
      <c r="B286" s="4" t="s">
        <v>28</v>
      </c>
      <c r="C286" s="111">
        <v>45686</v>
      </c>
      <c r="D286" s="4" t="s">
        <v>14</v>
      </c>
      <c r="E286" s="4" t="s">
        <v>24</v>
      </c>
      <c r="F286" s="7">
        <v>1334</v>
      </c>
      <c r="G286" s="7">
        <v>357</v>
      </c>
      <c r="H286" s="7">
        <v>257</v>
      </c>
      <c r="I286" s="7">
        <v>56910</v>
      </c>
      <c r="J286" s="7">
        <v>70606</v>
      </c>
      <c r="K286" s="7">
        <v>228</v>
      </c>
      <c r="L286" s="4" t="s">
        <v>19</v>
      </c>
      <c r="M286" s="4" t="s">
        <v>364</v>
      </c>
      <c r="N286" s="4" t="s">
        <v>20</v>
      </c>
      <c r="O286" s="13">
        <f t="shared" si="4"/>
        <v>3.4229485151994379E-2</v>
      </c>
    </row>
    <row r="287" spans="1:15">
      <c r="A287" s="4" t="s">
        <v>320</v>
      </c>
      <c r="B287" s="4" t="s">
        <v>13</v>
      </c>
      <c r="C287" s="111">
        <v>45413</v>
      </c>
      <c r="D287" s="4" t="s">
        <v>14</v>
      </c>
      <c r="E287" s="4" t="s">
        <v>33</v>
      </c>
      <c r="F287" s="7">
        <v>3359</v>
      </c>
      <c r="G287" s="7">
        <v>137</v>
      </c>
      <c r="H287" s="7">
        <v>387</v>
      </c>
      <c r="I287" s="7">
        <v>33861</v>
      </c>
      <c r="J287" s="7">
        <v>47257</v>
      </c>
      <c r="K287" s="7">
        <v>198</v>
      </c>
      <c r="L287" s="4" t="s">
        <v>19</v>
      </c>
      <c r="M287" s="4"/>
      <c r="N287" s="4" t="s">
        <v>20</v>
      </c>
      <c r="O287" s="13">
        <f t="shared" si="4"/>
        <v>0.11467469950680724</v>
      </c>
    </row>
    <row r="288" spans="1:15">
      <c r="A288" s="4" t="s">
        <v>321</v>
      </c>
      <c r="B288" s="4" t="s">
        <v>28</v>
      </c>
      <c r="C288" s="111">
        <v>45468</v>
      </c>
      <c r="D288" s="4" t="s">
        <v>14</v>
      </c>
      <c r="E288" s="4" t="s">
        <v>46</v>
      </c>
      <c r="F288" s="7">
        <v>2172</v>
      </c>
      <c r="G288" s="7">
        <v>338</v>
      </c>
      <c r="H288" s="7">
        <v>70</v>
      </c>
      <c r="I288" s="7">
        <v>30515</v>
      </c>
      <c r="J288" s="7">
        <v>57853</v>
      </c>
      <c r="K288" s="7">
        <v>156</v>
      </c>
      <c r="L288" s="4" t="s">
        <v>19</v>
      </c>
      <c r="M288" s="4" t="s">
        <v>364</v>
      </c>
      <c r="N288" s="4" t="s">
        <v>20</v>
      </c>
      <c r="O288" s="13">
        <f t="shared" si="4"/>
        <v>8.4548582664263475E-2</v>
      </c>
    </row>
    <row r="289" spans="1:15">
      <c r="A289" s="4" t="s">
        <v>322</v>
      </c>
      <c r="B289" s="4" t="s">
        <v>22</v>
      </c>
      <c r="C289" s="111">
        <v>45513</v>
      </c>
      <c r="D289" s="4" t="s">
        <v>23</v>
      </c>
      <c r="E289" s="4" t="s">
        <v>44</v>
      </c>
      <c r="F289" s="7">
        <v>4877</v>
      </c>
      <c r="G289" s="7">
        <v>442</v>
      </c>
      <c r="H289" s="7">
        <v>236</v>
      </c>
      <c r="I289" s="7">
        <v>52673</v>
      </c>
      <c r="J289" s="7">
        <v>48241</v>
      </c>
      <c r="K289" s="7">
        <v>114</v>
      </c>
      <c r="L289" s="4" t="s">
        <v>19</v>
      </c>
      <c r="M289" s="4" t="s">
        <v>363</v>
      </c>
      <c r="N289" s="4" t="s">
        <v>16</v>
      </c>
      <c r="O289" s="13">
        <f t="shared" si="4"/>
        <v>0.10546200140489435</v>
      </c>
    </row>
    <row r="290" spans="1:15">
      <c r="A290" s="4" t="s">
        <v>323</v>
      </c>
      <c r="B290" s="4" t="s">
        <v>13</v>
      </c>
      <c r="C290" s="111">
        <v>45678</v>
      </c>
      <c r="D290" s="4" t="s">
        <v>23</v>
      </c>
      <c r="E290" s="4" t="s">
        <v>24</v>
      </c>
      <c r="F290" s="7">
        <v>4918</v>
      </c>
      <c r="G290" s="7">
        <v>440</v>
      </c>
      <c r="H290" s="7">
        <v>149</v>
      </c>
      <c r="I290" s="7">
        <v>53269</v>
      </c>
      <c r="J290" s="7">
        <v>64370</v>
      </c>
      <c r="K290" s="7">
        <v>269</v>
      </c>
      <c r="L290" s="4" t="s">
        <v>37</v>
      </c>
      <c r="M290" s="4"/>
      <c r="N290" s="4" t="s">
        <v>50</v>
      </c>
      <c r="O290" s="13">
        <f t="shared" si="4"/>
        <v>0.10338095327488783</v>
      </c>
    </row>
    <row r="291" spans="1:15">
      <c r="A291" s="4" t="s">
        <v>324</v>
      </c>
      <c r="B291" s="4" t="s">
        <v>22</v>
      </c>
      <c r="C291" s="111">
        <v>45517</v>
      </c>
      <c r="D291" s="4" t="s">
        <v>14</v>
      </c>
      <c r="E291" s="4" t="s">
        <v>18</v>
      </c>
      <c r="F291" s="7">
        <v>3418</v>
      </c>
      <c r="G291" s="7">
        <v>107</v>
      </c>
      <c r="H291" s="7">
        <v>221</v>
      </c>
      <c r="I291" s="7">
        <v>23927</v>
      </c>
      <c r="J291" s="7">
        <v>26182</v>
      </c>
      <c r="K291" s="7">
        <v>155</v>
      </c>
      <c r="L291" s="4" t="s">
        <v>40</v>
      </c>
      <c r="M291" s="4"/>
      <c r="N291" s="4" t="s">
        <v>20</v>
      </c>
      <c r="O291" s="13">
        <f t="shared" si="4"/>
        <v>0.1565595352530614</v>
      </c>
    </row>
    <row r="292" spans="1:15">
      <c r="A292" s="4" t="s">
        <v>325</v>
      </c>
      <c r="B292" s="4" t="s">
        <v>13</v>
      </c>
      <c r="C292" s="111">
        <v>45472</v>
      </c>
      <c r="D292" s="4" t="s">
        <v>14</v>
      </c>
      <c r="E292" s="4" t="s">
        <v>46</v>
      </c>
      <c r="F292" s="7">
        <v>2088</v>
      </c>
      <c r="G292" s="7">
        <v>490</v>
      </c>
      <c r="H292" s="7">
        <v>124</v>
      </c>
      <c r="I292" s="7">
        <v>46544</v>
      </c>
      <c r="J292" s="7">
        <v>69346</v>
      </c>
      <c r="K292" s="7">
        <v>178</v>
      </c>
      <c r="L292" s="4" t="s">
        <v>40</v>
      </c>
      <c r="M292" s="4" t="s">
        <v>37</v>
      </c>
      <c r="N292" s="4" t="s">
        <v>16</v>
      </c>
      <c r="O292" s="13">
        <f t="shared" si="4"/>
        <v>5.8052595393606049E-2</v>
      </c>
    </row>
    <row r="293" spans="1:15">
      <c r="A293" s="4" t="s">
        <v>326</v>
      </c>
      <c r="B293" s="4" t="s">
        <v>22</v>
      </c>
      <c r="C293" s="111">
        <v>45599</v>
      </c>
      <c r="D293" s="4" t="s">
        <v>23</v>
      </c>
      <c r="E293" s="4" t="s">
        <v>18</v>
      </c>
      <c r="F293" s="7">
        <v>3061</v>
      </c>
      <c r="G293" s="7">
        <v>320</v>
      </c>
      <c r="H293" s="7">
        <v>76</v>
      </c>
      <c r="I293" s="7">
        <v>26640</v>
      </c>
      <c r="J293" s="7">
        <v>24306</v>
      </c>
      <c r="K293" s="7">
        <v>112</v>
      </c>
      <c r="L293" s="4" t="s">
        <v>363</v>
      </c>
      <c r="M293" s="4" t="s">
        <v>37</v>
      </c>
      <c r="N293" s="4" t="s">
        <v>16</v>
      </c>
      <c r="O293" s="13">
        <f t="shared" si="4"/>
        <v>0.12976726726726726</v>
      </c>
    </row>
    <row r="294" spans="1:15">
      <c r="A294" s="4" t="s">
        <v>327</v>
      </c>
      <c r="B294" s="4" t="s">
        <v>28</v>
      </c>
      <c r="C294" s="111">
        <v>45765</v>
      </c>
      <c r="D294" s="4" t="s">
        <v>52</v>
      </c>
      <c r="E294" s="4" t="s">
        <v>46</v>
      </c>
      <c r="F294" s="7">
        <v>1265</v>
      </c>
      <c r="G294" s="7">
        <v>230</v>
      </c>
      <c r="H294" s="7">
        <v>364</v>
      </c>
      <c r="I294" s="7">
        <v>41312</v>
      </c>
      <c r="J294" s="7">
        <v>50382</v>
      </c>
      <c r="K294" s="7">
        <v>106</v>
      </c>
      <c r="L294" s="4" t="s">
        <v>19</v>
      </c>
      <c r="M294" s="4" t="s">
        <v>40</v>
      </c>
      <c r="N294" s="4" t="s">
        <v>53</v>
      </c>
      <c r="O294" s="13">
        <f t="shared" si="4"/>
        <v>4.4999031758326875E-2</v>
      </c>
    </row>
    <row r="295" spans="1:15">
      <c r="A295" s="4" t="s">
        <v>328</v>
      </c>
      <c r="B295" s="4" t="s">
        <v>13</v>
      </c>
      <c r="C295" s="111">
        <v>45653</v>
      </c>
      <c r="D295" s="4" t="s">
        <v>14</v>
      </c>
      <c r="E295" s="4" t="s">
        <v>44</v>
      </c>
      <c r="F295" s="7">
        <v>1436</v>
      </c>
      <c r="G295" s="7">
        <v>219</v>
      </c>
      <c r="H295" s="7">
        <v>229</v>
      </c>
      <c r="I295" s="7">
        <v>58488</v>
      </c>
      <c r="J295" s="7">
        <v>24314</v>
      </c>
      <c r="K295" s="7">
        <v>147</v>
      </c>
      <c r="L295" s="4" t="s">
        <v>19</v>
      </c>
      <c r="M295" s="4"/>
      <c r="N295" s="4" t="s">
        <v>20</v>
      </c>
      <c r="O295" s="13">
        <f t="shared" si="4"/>
        <v>3.221173574066475E-2</v>
      </c>
    </row>
    <row r="296" spans="1:15">
      <c r="A296" s="4" t="s">
        <v>329</v>
      </c>
      <c r="B296" s="4" t="s">
        <v>13</v>
      </c>
      <c r="C296" s="111">
        <v>45724</v>
      </c>
      <c r="D296" s="4" t="s">
        <v>23</v>
      </c>
      <c r="E296" s="4" t="s">
        <v>36</v>
      </c>
      <c r="F296" s="7">
        <v>2244</v>
      </c>
      <c r="G296" s="7">
        <v>392</v>
      </c>
      <c r="H296" s="7">
        <v>231</v>
      </c>
      <c r="I296" s="7">
        <v>25834</v>
      </c>
      <c r="J296" s="7">
        <v>50906</v>
      </c>
      <c r="K296" s="7">
        <v>165</v>
      </c>
      <c r="L296" s="4" t="s">
        <v>37</v>
      </c>
      <c r="M296" s="4"/>
      <c r="N296" s="4" t="s">
        <v>50</v>
      </c>
      <c r="O296" s="13">
        <f t="shared" si="4"/>
        <v>0.1109777812185492</v>
      </c>
    </row>
    <row r="297" spans="1:15">
      <c r="A297" s="4" t="s">
        <v>330</v>
      </c>
      <c r="B297" s="4" t="s">
        <v>22</v>
      </c>
      <c r="C297" s="111">
        <v>45736</v>
      </c>
      <c r="D297" s="4" t="s">
        <v>23</v>
      </c>
      <c r="E297" s="4" t="s">
        <v>46</v>
      </c>
      <c r="F297" s="7">
        <v>3393</v>
      </c>
      <c r="G297" s="7">
        <v>104</v>
      </c>
      <c r="H297" s="7">
        <v>79</v>
      </c>
      <c r="I297" s="7">
        <v>30025</v>
      </c>
      <c r="J297" s="7">
        <v>21593</v>
      </c>
      <c r="K297" s="7">
        <v>165</v>
      </c>
      <c r="L297" s="4" t="s">
        <v>363</v>
      </c>
      <c r="M297" s="4" t="s">
        <v>37</v>
      </c>
      <c r="N297" s="4" t="s">
        <v>16</v>
      </c>
      <c r="O297" s="13">
        <f t="shared" si="4"/>
        <v>0.1191007493755204</v>
      </c>
    </row>
    <row r="298" spans="1:15">
      <c r="A298" s="4" t="s">
        <v>331</v>
      </c>
      <c r="B298" s="4" t="s">
        <v>22</v>
      </c>
      <c r="C298" s="111">
        <v>45612</v>
      </c>
      <c r="D298" s="4" t="s">
        <v>14</v>
      </c>
      <c r="E298" s="4" t="s">
        <v>18</v>
      </c>
      <c r="F298" s="7">
        <v>2901</v>
      </c>
      <c r="G298" s="7">
        <v>108</v>
      </c>
      <c r="H298" s="7">
        <v>86</v>
      </c>
      <c r="I298" s="7">
        <v>51777</v>
      </c>
      <c r="J298" s="7">
        <v>23773</v>
      </c>
      <c r="K298" s="7">
        <v>160</v>
      </c>
      <c r="L298" s="4" t="s">
        <v>40</v>
      </c>
      <c r="M298" s="4"/>
      <c r="N298" s="4" t="s">
        <v>20</v>
      </c>
      <c r="O298" s="13">
        <f t="shared" si="4"/>
        <v>5.9775576027966085E-2</v>
      </c>
    </row>
    <row r="299" spans="1:15">
      <c r="A299" s="4" t="s">
        <v>332</v>
      </c>
      <c r="B299" s="4" t="s">
        <v>22</v>
      </c>
      <c r="C299" s="111">
        <v>45838</v>
      </c>
      <c r="D299" s="4" t="s">
        <v>14</v>
      </c>
      <c r="E299" s="4" t="s">
        <v>31</v>
      </c>
      <c r="F299" s="7">
        <v>2275</v>
      </c>
      <c r="G299" s="7">
        <v>285</v>
      </c>
      <c r="H299" s="7">
        <v>125</v>
      </c>
      <c r="I299" s="7">
        <v>43970</v>
      </c>
      <c r="J299" s="7">
        <v>74761</v>
      </c>
      <c r="K299" s="7">
        <v>83</v>
      </c>
      <c r="L299" s="4" t="s">
        <v>37</v>
      </c>
      <c r="M299" s="4"/>
      <c r="N299" s="4" t="s">
        <v>16</v>
      </c>
      <c r="O299" s="13">
        <f t="shared" si="4"/>
        <v>6.1064362065044349E-2</v>
      </c>
    </row>
    <row r="300" spans="1:15">
      <c r="A300" s="4" t="s">
        <v>333</v>
      </c>
      <c r="B300" s="4" t="s">
        <v>22</v>
      </c>
      <c r="C300" s="111">
        <v>45303</v>
      </c>
      <c r="D300" s="4" t="s">
        <v>23</v>
      </c>
      <c r="E300" s="4" t="s">
        <v>26</v>
      </c>
      <c r="F300" s="7">
        <v>2227</v>
      </c>
      <c r="G300" s="7">
        <v>494</v>
      </c>
      <c r="H300" s="7">
        <v>161</v>
      </c>
      <c r="I300" s="7">
        <v>51651</v>
      </c>
      <c r="J300" s="7">
        <v>68074</v>
      </c>
      <c r="K300" s="7">
        <v>240</v>
      </c>
      <c r="L300" s="4" t="s">
        <v>19</v>
      </c>
      <c r="M300" s="4" t="s">
        <v>363</v>
      </c>
      <c r="N300" s="4" t="s">
        <v>16</v>
      </c>
      <c r="O300" s="13">
        <f t="shared" si="4"/>
        <v>5.5797564422760453E-2</v>
      </c>
    </row>
    <row r="301" spans="1:15">
      <c r="A301" s="4" t="s">
        <v>334</v>
      </c>
      <c r="B301" s="4" t="s">
        <v>13</v>
      </c>
      <c r="C301" s="111">
        <v>45329</v>
      </c>
      <c r="D301" s="4" t="s">
        <v>14</v>
      </c>
      <c r="E301" s="4" t="s">
        <v>29</v>
      </c>
      <c r="F301" s="7">
        <v>1883</v>
      </c>
      <c r="G301" s="7">
        <v>432</v>
      </c>
      <c r="H301" s="7">
        <v>397</v>
      </c>
      <c r="I301" s="7">
        <v>28759</v>
      </c>
      <c r="J301" s="7">
        <v>18691</v>
      </c>
      <c r="K301" s="7">
        <v>270</v>
      </c>
      <c r="L301" s="4" t="s">
        <v>40</v>
      </c>
      <c r="M301" s="4" t="s">
        <v>37</v>
      </c>
      <c r="N301" s="4" t="s">
        <v>16</v>
      </c>
      <c r="O301" s="13">
        <f t="shared" si="4"/>
        <v>9.4300914496331587E-2</v>
      </c>
    </row>
    <row r="302" spans="1:15" ht="15.75" customHeight="1"/>
    <row r="303" spans="1:15" ht="15.75" customHeight="1"/>
    <row r="304" spans="1:15"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21B9-703B-44B4-9833-739C7EABCDD4}">
  <sheetPr codeName="Sheet6">
    <tabColor rgb="FFFFCC66"/>
  </sheetPr>
  <dimension ref="D1:Q338"/>
  <sheetViews>
    <sheetView topLeftCell="A34" workbookViewId="0">
      <selection activeCell="J44" sqref="J44"/>
    </sheetView>
  </sheetViews>
  <sheetFormatPr defaultRowHeight="15"/>
  <cols>
    <col min="2" max="2" width="13.5703125" customWidth="1"/>
    <col min="3" max="3" width="12" bestFit="1" customWidth="1"/>
    <col min="4" max="4" width="13.140625" customWidth="1"/>
    <col min="5" max="6" width="13.140625" bestFit="1" customWidth="1"/>
    <col min="7" max="7" width="19.42578125" customWidth="1"/>
    <col min="8" max="8" width="24" bestFit="1" customWidth="1"/>
    <col min="9" max="9" width="18.28515625" bestFit="1" customWidth="1"/>
    <col min="10" max="10" width="25.85546875" bestFit="1" customWidth="1"/>
    <col min="13" max="13" width="22.28515625" bestFit="1" customWidth="1"/>
    <col min="14" max="14" width="16.140625" customWidth="1"/>
    <col min="15" max="15" width="17" customWidth="1"/>
    <col min="16" max="16" width="24.5703125" bestFit="1" customWidth="1"/>
    <col min="17" max="17" width="11.7109375" customWidth="1"/>
  </cols>
  <sheetData>
    <row r="1" spans="4:17" ht="17.25" customHeight="1"/>
    <row r="2" spans="4:17" ht="24.75" customHeight="1"/>
    <row r="4" spans="4:17" ht="15.75" thickBot="1"/>
    <row r="5" spans="4:17" ht="15.75" thickBot="1">
      <c r="L5" s="16"/>
      <c r="M5" s="17"/>
      <c r="N5" s="17"/>
      <c r="O5" s="17"/>
      <c r="P5" s="17"/>
      <c r="Q5" s="18"/>
    </row>
    <row r="6" spans="4:17" ht="25.5" thickBot="1">
      <c r="D6" s="20"/>
      <c r="E6" s="135" t="s">
        <v>384</v>
      </c>
      <c r="F6" s="136"/>
      <c r="G6" s="136"/>
      <c r="H6" s="136"/>
      <c r="I6" s="136"/>
      <c r="J6" s="137"/>
      <c r="K6" s="20"/>
      <c r="L6" s="129" t="s">
        <v>388</v>
      </c>
      <c r="M6" s="130"/>
      <c r="N6" s="130"/>
      <c r="O6" s="130"/>
      <c r="P6" s="130"/>
      <c r="Q6" s="131"/>
    </row>
    <row r="7" spans="4:17" ht="15.75" thickBot="1">
      <c r="D7" s="20"/>
      <c r="E7" s="19"/>
      <c r="F7" s="20"/>
      <c r="G7" s="20"/>
      <c r="H7" s="20"/>
      <c r="I7" s="20"/>
      <c r="J7" s="21"/>
      <c r="K7" s="20"/>
      <c r="L7" s="19"/>
      <c r="M7" s="20"/>
      <c r="N7" s="52" t="s">
        <v>359</v>
      </c>
      <c r="O7" s="55" t="s">
        <v>435</v>
      </c>
      <c r="P7" s="20"/>
      <c r="Q7" s="21"/>
    </row>
    <row r="8" spans="4:17">
      <c r="D8" s="20"/>
      <c r="E8" s="19"/>
      <c r="F8" s="20"/>
      <c r="G8" s="20"/>
      <c r="H8" s="20"/>
      <c r="I8" s="20"/>
      <c r="J8" s="21"/>
      <c r="K8" s="20"/>
      <c r="L8" s="19"/>
      <c r="M8" s="20"/>
      <c r="N8" s="60" t="s">
        <v>32</v>
      </c>
      <c r="O8" s="49">
        <v>0.26064752360763155</v>
      </c>
      <c r="P8" s="20"/>
      <c r="Q8" s="21"/>
    </row>
    <row r="9" spans="4:17" ht="15.75" thickBot="1">
      <c r="D9" s="20"/>
      <c r="E9" s="19"/>
      <c r="F9" s="20"/>
      <c r="G9" s="140" t="s">
        <v>387</v>
      </c>
      <c r="H9" s="140"/>
      <c r="I9" s="140"/>
      <c r="J9" s="21"/>
      <c r="K9" s="20"/>
      <c r="L9" s="19"/>
      <c r="M9" s="20"/>
      <c r="N9" s="61" t="s">
        <v>56</v>
      </c>
      <c r="O9" s="50">
        <v>0.19548583208133888</v>
      </c>
      <c r="P9" s="20"/>
      <c r="Q9" s="21"/>
    </row>
    <row r="10" spans="4:17" ht="15.75" thickBot="1">
      <c r="D10" s="20"/>
      <c r="E10" s="52" t="s">
        <v>359</v>
      </c>
      <c r="F10" s="64" t="s">
        <v>366</v>
      </c>
      <c r="G10" s="71" t="s">
        <v>367</v>
      </c>
      <c r="H10" s="71" t="s">
        <v>368</v>
      </c>
      <c r="I10" s="71" t="s">
        <v>370</v>
      </c>
      <c r="J10" s="65" t="s">
        <v>386</v>
      </c>
      <c r="K10" s="20"/>
      <c r="L10" s="19"/>
      <c r="M10" s="20"/>
      <c r="N10" s="61" t="s">
        <v>84</v>
      </c>
      <c r="O10" s="50">
        <v>0.20241060666934513</v>
      </c>
      <c r="P10" s="20"/>
      <c r="Q10" s="21"/>
    </row>
    <row r="11" spans="4:17">
      <c r="D11" s="20"/>
      <c r="E11" s="60" t="s">
        <v>13</v>
      </c>
      <c r="F11" s="56">
        <v>251473</v>
      </c>
      <c r="G11" s="70">
        <v>29285</v>
      </c>
      <c r="H11" s="70">
        <v>20818</v>
      </c>
      <c r="I11" s="70">
        <v>3553489</v>
      </c>
      <c r="J11" s="88">
        <v>0.29020774901247359</v>
      </c>
      <c r="K11" s="20"/>
      <c r="L11" s="19"/>
      <c r="M11" s="20"/>
      <c r="N11" s="61" t="s">
        <v>102</v>
      </c>
      <c r="O11" s="50">
        <v>0.18517978620019437</v>
      </c>
      <c r="P11" s="20"/>
      <c r="Q11" s="21"/>
    </row>
    <row r="12" spans="4:17">
      <c r="D12" s="20"/>
      <c r="E12" s="61" t="s">
        <v>22</v>
      </c>
      <c r="F12" s="58">
        <v>450295</v>
      </c>
      <c r="G12" s="36">
        <v>45498</v>
      </c>
      <c r="H12" s="36">
        <v>31577</v>
      </c>
      <c r="I12" s="36">
        <v>6138949</v>
      </c>
      <c r="J12" s="43">
        <v>0.5104431171347571</v>
      </c>
      <c r="K12" s="20"/>
      <c r="L12" s="19"/>
      <c r="M12" s="20"/>
      <c r="N12" s="61" t="s">
        <v>140</v>
      </c>
      <c r="O12" s="50">
        <v>0.23193025217961938</v>
      </c>
      <c r="P12" s="20"/>
      <c r="Q12" s="21"/>
    </row>
    <row r="13" spans="4:17" ht="15.75" thickBot="1">
      <c r="D13" s="20"/>
      <c r="E13" s="62" t="s">
        <v>28</v>
      </c>
      <c r="F13" s="58">
        <v>195407</v>
      </c>
      <c r="G13" s="36">
        <v>18618</v>
      </c>
      <c r="H13" s="36">
        <v>14671</v>
      </c>
      <c r="I13" s="36">
        <v>2777994</v>
      </c>
      <c r="J13" s="43">
        <v>0.19934913385276923</v>
      </c>
      <c r="K13" s="20"/>
      <c r="L13" s="19"/>
      <c r="M13" s="20"/>
      <c r="N13" s="61" t="s">
        <v>170</v>
      </c>
      <c r="O13" s="50">
        <v>0.18723441538528934</v>
      </c>
      <c r="P13" s="20"/>
      <c r="Q13" s="21"/>
    </row>
    <row r="14" spans="4:17" ht="15.75" thickBot="1">
      <c r="D14" s="20"/>
      <c r="E14" s="63" t="s">
        <v>360</v>
      </c>
      <c r="F14" s="59">
        <v>897175</v>
      </c>
      <c r="G14" s="40">
        <v>93401</v>
      </c>
      <c r="H14" s="40">
        <v>67066</v>
      </c>
      <c r="I14" s="40">
        <v>12470432</v>
      </c>
      <c r="J14" s="44">
        <v>1</v>
      </c>
      <c r="K14" s="20"/>
      <c r="L14" s="19"/>
      <c r="M14" s="20"/>
      <c r="N14" s="61" t="s">
        <v>191</v>
      </c>
      <c r="O14" s="50">
        <v>0.19390491670052823</v>
      </c>
      <c r="P14" s="20"/>
      <c r="Q14" s="21"/>
    </row>
    <row r="15" spans="4:17" ht="15" customHeight="1">
      <c r="D15" s="20"/>
      <c r="E15" s="20"/>
      <c r="F15" s="20"/>
      <c r="G15" s="20"/>
      <c r="H15" s="20"/>
      <c r="I15" s="20"/>
      <c r="J15" s="20"/>
      <c r="K15" s="20"/>
      <c r="L15" s="19"/>
      <c r="M15" s="20"/>
      <c r="N15" s="61" t="s">
        <v>220</v>
      </c>
      <c r="O15" s="50">
        <v>0.22967524699836073</v>
      </c>
      <c r="P15" s="20"/>
      <c r="Q15" s="21"/>
    </row>
    <row r="16" spans="4:17">
      <c r="L16" s="19"/>
      <c r="M16" s="20"/>
      <c r="N16" s="61" t="s">
        <v>282</v>
      </c>
      <c r="O16" s="50">
        <v>0.19261223173659131</v>
      </c>
      <c r="P16" s="20"/>
      <c r="Q16" s="21"/>
    </row>
    <row r="17" spans="4:17" ht="15.75" thickBot="1">
      <c r="F17" s="34"/>
      <c r="L17" s="19"/>
      <c r="M17" s="20"/>
      <c r="N17" s="62" t="s">
        <v>313</v>
      </c>
      <c r="O17" s="50">
        <v>0.20445859872611466</v>
      </c>
      <c r="P17" s="20"/>
      <c r="Q17" s="21"/>
    </row>
    <row r="18" spans="4:17" ht="15.75" thickBot="1">
      <c r="D18" s="20"/>
      <c r="E18" s="20"/>
      <c r="F18" s="20"/>
      <c r="G18" s="20"/>
      <c r="H18" s="20"/>
      <c r="I18" s="20"/>
      <c r="J18" s="20"/>
      <c r="K18" s="38"/>
      <c r="L18" s="24"/>
      <c r="M18" s="25"/>
      <c r="N18" s="63" t="s">
        <v>360</v>
      </c>
      <c r="O18" s="51">
        <v>2.0835394102850135</v>
      </c>
      <c r="P18" s="25"/>
      <c r="Q18" s="26"/>
    </row>
    <row r="19" spans="4:17" ht="19.5" thickBot="1">
      <c r="D19" s="20"/>
      <c r="E19" s="132" t="s">
        <v>392</v>
      </c>
      <c r="F19" s="133"/>
      <c r="G19" s="133"/>
      <c r="H19" s="133"/>
      <c r="I19" s="133"/>
      <c r="J19" s="134"/>
      <c r="K19" s="39"/>
    </row>
    <row r="20" spans="4:17" ht="15.75" thickBot="1">
      <c r="D20" s="20"/>
      <c r="E20" s="19"/>
      <c r="F20" s="52" t="s">
        <v>359</v>
      </c>
      <c r="G20" s="64" t="s">
        <v>389</v>
      </c>
      <c r="H20" s="71" t="s">
        <v>390</v>
      </c>
      <c r="I20" s="65" t="s">
        <v>391</v>
      </c>
      <c r="J20" s="21"/>
      <c r="K20" s="38"/>
    </row>
    <row r="21" spans="4:17" ht="15.75" thickBot="1">
      <c r="D21" s="20"/>
      <c r="E21" s="19"/>
      <c r="F21" s="63" t="s">
        <v>13</v>
      </c>
      <c r="G21" s="56">
        <v>251473</v>
      </c>
      <c r="H21" s="70">
        <v>29285</v>
      </c>
      <c r="I21" s="57">
        <v>20818</v>
      </c>
      <c r="J21" s="21"/>
      <c r="K21" s="20"/>
    </row>
    <row r="22" spans="4:17">
      <c r="D22" s="20"/>
      <c r="E22" s="19"/>
      <c r="F22" s="53" t="s">
        <v>23</v>
      </c>
      <c r="G22" s="58">
        <v>61815</v>
      </c>
      <c r="H22" s="36">
        <v>7993</v>
      </c>
      <c r="I22" s="47">
        <v>5656</v>
      </c>
      <c r="J22" s="21"/>
      <c r="K22" s="20"/>
    </row>
    <row r="23" spans="4:17" ht="15.75" thickBot="1">
      <c r="D23" s="20"/>
      <c r="E23" s="19"/>
      <c r="F23" s="54" t="s">
        <v>14</v>
      </c>
      <c r="G23" s="58">
        <v>189658</v>
      </c>
      <c r="H23" s="36">
        <v>21292</v>
      </c>
      <c r="I23" s="47">
        <v>15162</v>
      </c>
      <c r="J23" s="21"/>
      <c r="K23" s="20"/>
    </row>
    <row r="24" spans="4:17" ht="15.75" thickBot="1">
      <c r="D24" s="20"/>
      <c r="E24" s="19"/>
      <c r="F24" s="63" t="s">
        <v>22</v>
      </c>
      <c r="G24" s="58">
        <v>450295</v>
      </c>
      <c r="H24" s="36">
        <v>45498</v>
      </c>
      <c r="I24" s="47">
        <v>31577</v>
      </c>
      <c r="J24" s="21"/>
      <c r="K24" s="20"/>
    </row>
    <row r="25" spans="4:17">
      <c r="D25" s="20"/>
      <c r="E25" s="19"/>
      <c r="F25" s="53" t="s">
        <v>23</v>
      </c>
      <c r="G25" s="58">
        <v>272103</v>
      </c>
      <c r="H25" s="36">
        <v>26494</v>
      </c>
      <c r="I25" s="47">
        <v>18442</v>
      </c>
      <c r="J25" s="21"/>
      <c r="K25" s="20"/>
    </row>
    <row r="26" spans="4:17" ht="15.75" thickBot="1">
      <c r="D26" s="20"/>
      <c r="E26" s="19"/>
      <c r="F26" s="54" t="s">
        <v>14</v>
      </c>
      <c r="G26" s="58">
        <v>178192</v>
      </c>
      <c r="H26" s="36">
        <v>19004</v>
      </c>
      <c r="I26" s="47">
        <v>13135</v>
      </c>
      <c r="J26" s="21"/>
      <c r="K26" s="20"/>
    </row>
    <row r="27" spans="4:17" ht="15.75" thickBot="1">
      <c r="D27" s="20"/>
      <c r="E27" s="19"/>
      <c r="F27" s="63" t="s">
        <v>28</v>
      </c>
      <c r="G27" s="58">
        <v>195407</v>
      </c>
      <c r="H27" s="36">
        <v>18618</v>
      </c>
      <c r="I27" s="47">
        <v>14671</v>
      </c>
      <c r="J27" s="21"/>
      <c r="K27" s="20"/>
    </row>
    <row r="28" spans="4:17">
      <c r="D28" s="20"/>
      <c r="E28" s="19"/>
      <c r="F28" s="53" t="s">
        <v>52</v>
      </c>
      <c r="G28" s="58">
        <v>89871</v>
      </c>
      <c r="H28" s="36">
        <v>9086</v>
      </c>
      <c r="I28" s="47">
        <v>6826</v>
      </c>
      <c r="J28" s="21"/>
      <c r="K28" s="20"/>
    </row>
    <row r="29" spans="4:17" ht="15.75" thickBot="1">
      <c r="D29" s="20"/>
      <c r="E29" s="19"/>
      <c r="F29" s="54" t="s">
        <v>14</v>
      </c>
      <c r="G29" s="58">
        <v>105536</v>
      </c>
      <c r="H29" s="36">
        <v>9532</v>
      </c>
      <c r="I29" s="47">
        <v>7845</v>
      </c>
      <c r="J29" s="21"/>
      <c r="K29" s="20"/>
    </row>
    <row r="30" spans="4:17" ht="15.75" thickBot="1">
      <c r="D30" s="20"/>
      <c r="E30" s="24"/>
      <c r="F30" s="63" t="s">
        <v>360</v>
      </c>
      <c r="G30" s="59">
        <v>897175</v>
      </c>
      <c r="H30" s="40">
        <v>93401</v>
      </c>
      <c r="I30" s="48">
        <v>67066</v>
      </c>
      <c r="J30" s="26"/>
      <c r="K30" s="20"/>
    </row>
    <row r="31" spans="4:17">
      <c r="D31" s="20"/>
      <c r="E31" s="20"/>
      <c r="F31" s="20"/>
      <c r="G31" s="20"/>
      <c r="H31" s="20"/>
      <c r="I31" s="20"/>
      <c r="J31" s="20"/>
      <c r="K31" s="20"/>
    </row>
    <row r="33" spans="6:16" ht="15.75" thickBot="1"/>
    <row r="34" spans="6:16">
      <c r="F34" s="16"/>
      <c r="G34" s="17"/>
      <c r="H34" s="17"/>
      <c r="I34" s="18"/>
    </row>
    <row r="35" spans="6:16">
      <c r="F35" s="19"/>
      <c r="G35" s="138" t="s">
        <v>438</v>
      </c>
      <c r="H35" s="138"/>
      <c r="I35" s="21"/>
    </row>
    <row r="36" spans="6:16">
      <c r="F36" s="19"/>
      <c r="G36" s="121" t="s">
        <v>437</v>
      </c>
      <c r="H36" s="20" t="s">
        <v>436</v>
      </c>
      <c r="I36" s="21"/>
    </row>
    <row r="37" spans="6:16">
      <c r="F37" s="19"/>
      <c r="G37" s="121" t="s">
        <v>37</v>
      </c>
      <c r="H37" s="20" cm="1">
        <f t="array" ref="H37">AVERAGE( _xlfn._xlws.FILTER( Table1__3[Clicks], ( (Table1__3[Hashtags Used.1] = G37) + (Table1__3[Hashtags Used.2]= G37) ) &gt; 0 ) )</f>
        <v>186.72027972027973</v>
      </c>
      <c r="I37" s="21"/>
    </row>
    <row r="38" spans="6:16">
      <c r="F38" s="19"/>
      <c r="G38" s="121" t="s">
        <v>19</v>
      </c>
      <c r="H38" s="20" cm="1">
        <f t="array" ref="H38">AVERAGE( _xlfn._xlws.FILTER( Table1__3[Clicks], ( (Table1__3[Hashtags Used.1] = G38) + (Table1__3[Hashtags Used.2]= G38) ) &gt; 0 ) )</f>
        <v>197.16923076923078</v>
      </c>
      <c r="I38" s="21"/>
    </row>
    <row r="39" spans="6:16">
      <c r="F39" s="19"/>
      <c r="G39" s="121" t="s">
        <v>40</v>
      </c>
      <c r="H39" s="20" cm="1">
        <f t="array" ref="H39">AVERAGE( _xlfn._xlws.FILTER( Table1__3[Clicks], ( (Table1__3[Hashtags Used.1] = G39) + (Table1__3[Hashtags Used.2]= G39) ) &gt; 0 ) )</f>
        <v>192.45871559633028</v>
      </c>
      <c r="I39" s="21"/>
    </row>
    <row r="40" spans="6:16">
      <c r="F40" s="19"/>
      <c r="G40" s="121" t="s">
        <v>363</v>
      </c>
      <c r="H40" s="20" cm="1">
        <f t="array" ref="H40">AVERAGE( _xlfn._xlws.FILTER( Table1__3[Clicks], ( (Table1__3[Hashtags Used.1] = G40) + (Table1__3[Hashtags Used.2]= G40) ) &gt; 0 ) )</f>
        <v>183.47761194029852</v>
      </c>
      <c r="I40" s="21"/>
    </row>
    <row r="41" spans="6:16">
      <c r="F41" s="19"/>
      <c r="G41" s="122" t="s">
        <v>364</v>
      </c>
      <c r="H41" s="20" cm="1">
        <f t="array" ref="H41">AVERAGE( _xlfn._xlws.FILTER( Table1__3[Clicks], ( (Table1__3[Hashtags Used.1] = G41) + (Table1__3[Hashtags Used.2]= G41) ) &gt; 0 ) )</f>
        <v>208.47058823529412</v>
      </c>
      <c r="I41" s="21"/>
    </row>
    <row r="42" spans="6:16">
      <c r="F42" s="19"/>
      <c r="G42" s="20"/>
      <c r="H42" s="20"/>
      <c r="I42" s="21"/>
    </row>
    <row r="43" spans="6:16">
      <c r="F43" s="19"/>
      <c r="G43" s="20"/>
      <c r="H43" s="20"/>
      <c r="I43" s="21"/>
    </row>
    <row r="44" spans="6:16">
      <c r="F44" s="19"/>
      <c r="G44" s="20"/>
      <c r="H44" s="20"/>
      <c r="I44" s="21"/>
    </row>
    <row r="45" spans="6:16" ht="15.75" thickBot="1">
      <c r="F45" s="19"/>
      <c r="G45" s="20"/>
      <c r="H45" s="20"/>
      <c r="I45" s="21"/>
    </row>
    <row r="46" spans="6:16">
      <c r="F46" s="19"/>
      <c r="G46" s="20"/>
      <c r="H46" s="20"/>
      <c r="I46" s="21"/>
      <c r="L46" s="16"/>
      <c r="M46" s="17"/>
      <c r="N46" s="17"/>
      <c r="O46" s="17"/>
      <c r="P46" s="18"/>
    </row>
    <row r="47" spans="6:16">
      <c r="F47" s="19"/>
      <c r="G47" s="20"/>
      <c r="H47" s="20"/>
      <c r="I47" s="21"/>
      <c r="L47" s="19"/>
      <c r="M47" s="138" t="s">
        <v>441</v>
      </c>
      <c r="N47" s="139"/>
      <c r="O47" s="139"/>
      <c r="P47" s="21"/>
    </row>
    <row r="48" spans="6:16">
      <c r="F48" s="19"/>
      <c r="G48" s="20"/>
      <c r="H48" s="20"/>
      <c r="I48" s="21"/>
      <c r="L48" s="19"/>
      <c r="M48" s="123" t="s">
        <v>439</v>
      </c>
      <c r="N48" s="123" t="s">
        <v>425</v>
      </c>
      <c r="O48" s="124" t="s">
        <v>440</v>
      </c>
      <c r="P48" s="21"/>
    </row>
    <row r="49" spans="6:16">
      <c r="F49" s="19"/>
      <c r="G49" s="20"/>
      <c r="H49" s="20"/>
      <c r="I49" s="21"/>
      <c r="L49" s="19"/>
      <c r="M49" s="20">
        <f>_xlfn.RANK.EQ(O49, $O$49:$O$53, 0)</f>
        <v>3</v>
      </c>
      <c r="N49" s="20" t="s">
        <v>37</v>
      </c>
      <c r="O49" s="125" cm="1">
        <f t="array" ref="O49">AVERAGE( _xlfn._xlws.FILTER( Table1__3[Reach], ( (Table1__3[Hashtags Used.1] = TASK2!N49) + (Table1__3[Hashtags Used.2]= TASK2!N49) ) &gt; 0 ) )</f>
        <v>44969.447552447549</v>
      </c>
      <c r="P49" s="21"/>
    </row>
    <row r="50" spans="6:16">
      <c r="F50" s="19"/>
      <c r="G50" s="20"/>
      <c r="H50" s="20"/>
      <c r="I50" s="21"/>
      <c r="L50" s="19"/>
      <c r="M50" s="20">
        <f>_xlfn.RANK.EQ(O50, $O$49:$O$53, 0)</f>
        <v>2</v>
      </c>
      <c r="N50" s="20" t="s">
        <v>19</v>
      </c>
      <c r="O50" s="125" cm="1">
        <f t="array" ref="O50">AVERAGE( _xlfn._xlws.FILTER( Table1__3[Reach], ( (Table1__3[Hashtags Used.1] = TASK2!N50) + (Table1__3[Hashtags Used.2]= TASK2!N50) ) &gt; 0 ) )</f>
        <v>45124.3</v>
      </c>
      <c r="P50" s="21"/>
    </row>
    <row r="51" spans="6:16" ht="15.75" thickBot="1">
      <c r="F51" s="24"/>
      <c r="G51" s="25"/>
      <c r="H51" s="25"/>
      <c r="I51" s="26"/>
      <c r="L51" s="19"/>
      <c r="M51" s="20">
        <f>_xlfn.RANK.EQ(O51, $O$49:$O$53, 0)</f>
        <v>1</v>
      </c>
      <c r="N51" s="20" t="s">
        <v>40</v>
      </c>
      <c r="O51" s="125" cm="1">
        <f t="array" ref="O51">AVERAGE( _xlfn._xlws.FILTER( Table1__3[Reach], ( (Table1__3[Hashtags Used.1] = TASK2!N51) + (Table1__3[Hashtags Used.2]= TASK2!N51) ) &gt; 0 ) )</f>
        <v>45273.348623853213</v>
      </c>
      <c r="P51" s="21"/>
    </row>
    <row r="52" spans="6:16">
      <c r="L52" s="19"/>
      <c r="M52" s="20">
        <f>_xlfn.RANK.EQ(O52, $O$49:$O$53, 0)</f>
        <v>5</v>
      </c>
      <c r="N52" s="20" t="s">
        <v>363</v>
      </c>
      <c r="O52" s="125" cm="1">
        <f t="array" ref="O52">AVERAGE( _xlfn._xlws.FILTER( Table1__3[Reach], ( (Table1__3[Hashtags Used.1] = TASK2!N52) + (Table1__3[Hashtags Used.2]= TASK2!N52) ) &gt; 0 ) )</f>
        <v>42321.40298507463</v>
      </c>
      <c r="P52" s="21"/>
    </row>
    <row r="53" spans="6:16">
      <c r="L53" s="19"/>
      <c r="M53" s="20">
        <f>_xlfn.RANK.EQ(O53, $O$49:$O$53, 0)</f>
        <v>4</v>
      </c>
      <c r="N53" s="20" t="s">
        <v>364</v>
      </c>
      <c r="O53" s="125" cm="1">
        <f t="array" ref="O53">AVERAGE( _xlfn._xlws.FILTER( Table1__3[Reach], ( (Table1__3[Hashtags Used.1] = TASK2!N53) + (Table1__3[Hashtags Used.2]= TASK2!N53) ) &gt; 0 ) )</f>
        <v>44703.088235294119</v>
      </c>
      <c r="P53" s="21"/>
    </row>
    <row r="54" spans="6:16">
      <c r="L54" s="19"/>
      <c r="M54" s="20"/>
      <c r="N54" s="20"/>
      <c r="O54" s="20"/>
      <c r="P54" s="21"/>
    </row>
    <row r="55" spans="6:16">
      <c r="L55" s="19"/>
      <c r="M55" s="20"/>
      <c r="N55" s="20"/>
      <c r="O55" s="20"/>
      <c r="P55" s="21"/>
    </row>
    <row r="56" spans="6:16">
      <c r="L56" s="19"/>
      <c r="M56" s="20"/>
      <c r="N56" s="20"/>
      <c r="O56" s="20"/>
      <c r="P56" s="21"/>
    </row>
    <row r="57" spans="6:16">
      <c r="L57" s="19"/>
      <c r="M57" s="20"/>
      <c r="N57" s="20"/>
      <c r="O57" s="20"/>
      <c r="P57" s="21"/>
    </row>
    <row r="58" spans="6:16">
      <c r="L58" s="19"/>
      <c r="M58" s="20"/>
      <c r="N58" s="20"/>
      <c r="O58" s="20"/>
      <c r="P58" s="21"/>
    </row>
    <row r="59" spans="6:16">
      <c r="L59" s="19"/>
      <c r="M59" s="20"/>
      <c r="N59" s="20"/>
      <c r="O59" s="20"/>
      <c r="P59" s="21"/>
    </row>
    <row r="60" spans="6:16">
      <c r="L60" s="19"/>
      <c r="M60" s="20"/>
      <c r="N60" s="20"/>
      <c r="O60" s="20"/>
      <c r="P60" s="21"/>
    </row>
    <row r="61" spans="6:16">
      <c r="L61" s="19"/>
      <c r="M61" s="20"/>
      <c r="N61" s="20"/>
      <c r="O61" s="20"/>
      <c r="P61" s="21"/>
    </row>
    <row r="62" spans="6:16">
      <c r="L62" s="19"/>
      <c r="M62" s="20"/>
      <c r="N62" s="20"/>
      <c r="O62" s="20"/>
      <c r="P62" s="21"/>
    </row>
    <row r="63" spans="6:16">
      <c r="L63" s="19"/>
      <c r="M63" s="20"/>
      <c r="N63" s="20"/>
      <c r="O63" s="20"/>
      <c r="P63" s="21"/>
    </row>
    <row r="64" spans="6:16">
      <c r="L64" s="19"/>
      <c r="M64" s="20"/>
      <c r="N64" s="20"/>
      <c r="O64" s="20"/>
      <c r="P64" s="21"/>
    </row>
    <row r="65" spans="12:16">
      <c r="L65" s="19"/>
      <c r="M65" s="20"/>
      <c r="N65" s="20"/>
      <c r="O65" s="20"/>
      <c r="P65" s="21"/>
    </row>
    <row r="66" spans="12:16">
      <c r="L66" s="19"/>
      <c r="M66" s="20"/>
      <c r="N66" s="20"/>
      <c r="O66" s="20"/>
      <c r="P66" s="21"/>
    </row>
    <row r="67" spans="12:16">
      <c r="L67" s="19"/>
      <c r="M67" s="20"/>
      <c r="N67" s="20"/>
      <c r="O67" s="20"/>
      <c r="P67" s="21"/>
    </row>
    <row r="68" spans="12:16">
      <c r="L68" s="19"/>
      <c r="M68" s="20"/>
      <c r="N68" s="20"/>
      <c r="O68" s="20"/>
      <c r="P68" s="21"/>
    </row>
    <row r="69" spans="12:16" ht="15.75" thickBot="1">
      <c r="L69" s="24"/>
      <c r="M69" s="25"/>
      <c r="N69" s="25"/>
      <c r="O69" s="25"/>
      <c r="P69" s="26"/>
    </row>
    <row r="86" ht="15.75" thickBot="1"/>
    <row r="87" ht="15.75" thickBot="1"/>
    <row r="104" ht="15.75" thickBot="1"/>
    <row r="105" ht="15.75" thickBot="1"/>
    <row r="142" ht="15.75" thickBot="1"/>
    <row r="143" ht="15.75" thickBot="1"/>
    <row r="172" ht="15.75" thickBot="1"/>
    <row r="173" ht="15.75" thickBot="1"/>
    <row r="193" ht="15.75" thickBot="1"/>
    <row r="194" ht="15.75" thickBot="1"/>
    <row r="222" ht="15.75" thickBot="1"/>
    <row r="223" ht="15.75" thickBot="1"/>
    <row r="284" ht="15.75" thickBot="1"/>
    <row r="285" ht="15.75" thickBot="1"/>
    <row r="315" ht="15.75" thickBot="1"/>
    <row r="316" ht="15.75" thickBot="1"/>
    <row r="337" ht="15.75" thickBot="1"/>
    <row r="338" ht="15.75" thickBot="1"/>
  </sheetData>
  <mergeCells count="6">
    <mergeCell ref="L6:Q6"/>
    <mergeCell ref="E19:J19"/>
    <mergeCell ref="E6:J6"/>
    <mergeCell ref="M47:O47"/>
    <mergeCell ref="G9:I9"/>
    <mergeCell ref="G35:H35"/>
  </mergeCells>
  <conditionalFormatting sqref="N49:N53">
    <cfRule type="expression" dxfId="200" priority="6">
      <formula>$M49&lt;=3</formula>
    </cfRule>
  </conditionalFormatting>
  <pageMargins left="0.7" right="0.7" top="0.75" bottom="0.75" header="0.3" footer="0.3"/>
  <pageSetup orientation="portrait" r:id="rId4"/>
  <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3F4DE-40C0-48DC-BC13-3551ADD735B8}">
  <sheetPr codeName="Sheet7">
    <tabColor theme="9" tint="0.39997558519241921"/>
  </sheetPr>
  <dimension ref="B6:S342"/>
  <sheetViews>
    <sheetView topLeftCell="A49" zoomScaleNormal="100" workbookViewId="0">
      <selection activeCell="L12" sqref="L12"/>
    </sheetView>
  </sheetViews>
  <sheetFormatPr defaultRowHeight="15"/>
  <cols>
    <col min="2" max="4" width="13.140625" bestFit="1" customWidth="1"/>
    <col min="5" max="5" width="16.7109375" bestFit="1" customWidth="1"/>
    <col min="6" max="6" width="24" bestFit="1" customWidth="1"/>
    <col min="7" max="7" width="22.140625" bestFit="1" customWidth="1"/>
    <col min="11" max="11" width="24.28515625" bestFit="1" customWidth="1"/>
    <col min="12" max="12" width="20.28515625" bestFit="1" customWidth="1"/>
    <col min="13" max="13" width="22.140625" bestFit="1" customWidth="1"/>
    <col min="14" max="14" width="24" bestFit="1" customWidth="1"/>
    <col min="15" max="15" width="18.42578125" customWidth="1"/>
    <col min="16" max="16" width="17" customWidth="1"/>
    <col min="17" max="17" width="14.5703125" customWidth="1"/>
    <col min="18" max="18" width="16.28515625" customWidth="1"/>
    <col min="19" max="19" width="6.7109375" customWidth="1"/>
    <col min="20" max="20" width="16.85546875" bestFit="1" customWidth="1"/>
    <col min="21" max="21" width="22.140625" bestFit="1" customWidth="1"/>
    <col min="22" max="23" width="24" bestFit="1" customWidth="1"/>
  </cols>
  <sheetData>
    <row r="6" spans="4:19">
      <c r="E6" s="145" t="s">
        <v>401</v>
      </c>
      <c r="F6" s="146"/>
      <c r="G6" s="146"/>
      <c r="H6" s="146"/>
      <c r="I6" s="146"/>
      <c r="J6" s="146"/>
      <c r="K6" s="146"/>
      <c r="L6" s="146"/>
    </row>
    <row r="7" spans="4:19">
      <c r="E7" s="146"/>
      <c r="F7" s="146"/>
      <c r="G7" s="146"/>
      <c r="H7" s="146"/>
      <c r="I7" s="146"/>
      <c r="J7" s="146"/>
      <c r="K7" s="146"/>
      <c r="L7" s="146"/>
    </row>
    <row r="8" spans="4:19" ht="15.75" thickBot="1"/>
    <row r="9" spans="4:19" ht="15.75" thickBot="1">
      <c r="K9" s="16"/>
      <c r="L9" s="17"/>
      <c r="M9" s="17"/>
      <c r="N9" s="17"/>
      <c r="O9" s="17"/>
      <c r="P9" s="17"/>
      <c r="Q9" s="17"/>
      <c r="R9" s="17"/>
      <c r="S9" s="18"/>
    </row>
    <row r="10" spans="4:19" ht="15.75" thickBot="1">
      <c r="J10" s="20"/>
      <c r="K10" s="19"/>
      <c r="L10" s="104" t="s">
        <v>1</v>
      </c>
      <c r="M10" s="65" t="s">
        <v>28</v>
      </c>
      <c r="N10" s="20"/>
      <c r="O10" s="20"/>
      <c r="P10" s="20"/>
      <c r="Q10" s="20"/>
      <c r="R10" s="20"/>
      <c r="S10" s="21"/>
    </row>
    <row r="11" spans="4:19" ht="19.5" thickBot="1">
      <c r="D11" s="149" t="s">
        <v>393</v>
      </c>
      <c r="E11" s="150"/>
      <c r="F11" s="150"/>
      <c r="G11" s="150"/>
      <c r="H11" s="151"/>
      <c r="K11" s="147" t="s">
        <v>400</v>
      </c>
      <c r="L11" s="148"/>
      <c r="M11" s="148"/>
      <c r="N11" s="148"/>
      <c r="O11" s="148"/>
      <c r="P11" s="20"/>
      <c r="Q11" s="20"/>
      <c r="R11" s="20"/>
      <c r="S11" s="21"/>
    </row>
    <row r="12" spans="4:19" ht="15.75" thickBot="1">
      <c r="D12" s="19"/>
      <c r="E12" s="52" t="s">
        <v>359</v>
      </c>
      <c r="F12" s="55" t="s">
        <v>435</v>
      </c>
      <c r="G12" s="20"/>
      <c r="H12" s="21"/>
      <c r="K12" s="19"/>
      <c r="L12" s="52" t="s">
        <v>359</v>
      </c>
      <c r="M12" s="64" t="s">
        <v>371</v>
      </c>
      <c r="N12" s="65" t="s">
        <v>405</v>
      </c>
      <c r="O12" s="20"/>
      <c r="P12" s="20"/>
      <c r="Q12" s="20"/>
      <c r="R12" s="20"/>
      <c r="S12" s="21"/>
    </row>
    <row r="13" spans="4:19">
      <c r="D13" s="19"/>
      <c r="E13" s="60" t="s">
        <v>13</v>
      </c>
      <c r="F13" s="67">
        <v>0.29020774901247359</v>
      </c>
      <c r="G13" s="20"/>
      <c r="H13" s="21"/>
      <c r="K13" s="19"/>
      <c r="L13" s="105" t="s">
        <v>394</v>
      </c>
      <c r="M13" s="56">
        <v>274567</v>
      </c>
      <c r="N13" s="88">
        <v>1.1427974445185181</v>
      </c>
      <c r="O13" s="20"/>
      <c r="P13" s="20"/>
      <c r="Q13" s="20"/>
      <c r="R13" s="20"/>
      <c r="S13" s="21"/>
    </row>
    <row r="14" spans="4:19">
      <c r="D14" s="19"/>
      <c r="E14" s="61" t="s">
        <v>22</v>
      </c>
      <c r="F14" s="68">
        <v>0.5104431171347571</v>
      </c>
      <c r="G14" s="20"/>
      <c r="H14" s="21"/>
      <c r="K14" s="19"/>
      <c r="L14" s="106" t="s">
        <v>395</v>
      </c>
      <c r="M14" s="58">
        <v>340750</v>
      </c>
      <c r="N14" s="43">
        <v>-1.0774778287022146</v>
      </c>
      <c r="O14" s="20"/>
      <c r="P14" s="20"/>
      <c r="Q14" s="20"/>
      <c r="R14" s="20"/>
      <c r="S14" s="21"/>
    </row>
    <row r="15" spans="4:19" ht="15.75" thickBot="1">
      <c r="D15" s="19"/>
      <c r="E15" s="62" t="s">
        <v>28</v>
      </c>
      <c r="F15" s="68">
        <v>0.19934913385276923</v>
      </c>
      <c r="G15" s="20"/>
      <c r="H15" s="21"/>
      <c r="K15" s="19"/>
      <c r="L15" s="106" t="s">
        <v>396</v>
      </c>
      <c r="M15" s="58">
        <v>263488</v>
      </c>
      <c r="N15" s="43">
        <v>1.0135386466447622</v>
      </c>
      <c r="O15" s="20"/>
      <c r="P15" s="20"/>
      <c r="Q15" s="20"/>
      <c r="R15" s="20"/>
      <c r="S15" s="21"/>
    </row>
    <row r="16" spans="4:19" ht="15.75" thickBot="1">
      <c r="D16" s="24"/>
      <c r="E16" s="63" t="s">
        <v>360</v>
      </c>
      <c r="F16" s="69">
        <v>1</v>
      </c>
      <c r="G16" s="25"/>
      <c r="H16" s="26"/>
      <c r="K16" s="19"/>
      <c r="L16" s="106" t="s">
        <v>397</v>
      </c>
      <c r="M16" s="58">
        <v>397607</v>
      </c>
      <c r="N16" s="43">
        <v>-2.2753053985578173</v>
      </c>
      <c r="O16" s="20"/>
      <c r="P16" s="141" t="s">
        <v>406</v>
      </c>
      <c r="Q16" s="141"/>
      <c r="R16" s="141"/>
      <c r="S16" s="21"/>
    </row>
    <row r="17" spans="3:19" ht="15.75" thickBot="1">
      <c r="K17" s="19"/>
      <c r="L17" s="107" t="s">
        <v>398</v>
      </c>
      <c r="M17" s="58">
        <v>202234</v>
      </c>
      <c r="N17" s="43">
        <v>2.1964471360967512</v>
      </c>
      <c r="O17" s="20"/>
      <c r="P17" s="82" t="s">
        <v>13</v>
      </c>
      <c r="Q17" s="82" t="s">
        <v>22</v>
      </c>
      <c r="R17" s="82" t="s">
        <v>28</v>
      </c>
      <c r="S17" s="21"/>
    </row>
    <row r="18" spans="3:19" ht="15.75" thickBot="1">
      <c r="K18" s="19"/>
      <c r="L18" s="108" t="s">
        <v>360</v>
      </c>
      <c r="M18" s="59">
        <v>1478646</v>
      </c>
      <c r="N18" s="44">
        <v>1</v>
      </c>
      <c r="O18" s="20"/>
      <c r="P18" s="37">
        <f ca="1">AVERAGEIF('Engagement Summary'!B:B, "Instagram",Table2[Weekly groth rate] )</f>
        <v>0.31276377555012919</v>
      </c>
      <c r="Q18" s="37">
        <f ca="1">AVERAGEIF('Engagement Summary'!B:B, "TWITTER",Table2[Weekly groth rate] )</f>
        <v>0.14875326984656212</v>
      </c>
      <c r="R18" s="37" t="e">
        <f ca="1">AVERAGEIF('Engagement Summary'!B:B, "yOUTUBE",Table2[Weekly groth rate] )</f>
        <v>#DIV/0!</v>
      </c>
      <c r="S18" s="21"/>
    </row>
    <row r="19" spans="3:19" ht="15.75" thickBot="1">
      <c r="K19" s="19"/>
      <c r="O19" s="20"/>
      <c r="P19" s="20"/>
      <c r="Q19" s="20"/>
      <c r="R19" s="20"/>
      <c r="S19" s="21"/>
    </row>
    <row r="20" spans="3:19" ht="19.5" thickBot="1">
      <c r="C20" s="149" t="s">
        <v>399</v>
      </c>
      <c r="D20" s="150"/>
      <c r="E20" s="150"/>
      <c r="F20" s="150"/>
      <c r="G20" s="150"/>
      <c r="H20" s="151"/>
      <c r="K20" s="19"/>
      <c r="O20" s="20"/>
      <c r="P20" s="20"/>
      <c r="Q20" s="20"/>
      <c r="R20" s="20"/>
      <c r="S20" s="21"/>
    </row>
    <row r="21" spans="3:19" ht="15.75" thickBot="1">
      <c r="C21" s="19"/>
      <c r="D21" s="52" t="s">
        <v>359</v>
      </c>
      <c r="E21" s="17" t="s">
        <v>383</v>
      </c>
      <c r="F21" s="18" t="s">
        <v>382</v>
      </c>
      <c r="G21" s="20"/>
      <c r="H21" s="21"/>
      <c r="K21" s="19"/>
      <c r="O21" s="20"/>
      <c r="P21" s="20"/>
      <c r="Q21" s="20"/>
      <c r="R21" s="20"/>
      <c r="S21" s="21"/>
    </row>
    <row r="22" spans="3:19">
      <c r="C22" s="19"/>
      <c r="D22" s="60" t="s">
        <v>13</v>
      </c>
      <c r="E22" s="56">
        <v>1035942</v>
      </c>
      <c r="F22" s="57">
        <v>432.70000000000016</v>
      </c>
      <c r="G22" s="20"/>
      <c r="H22" s="21"/>
      <c r="K22" s="19"/>
      <c r="O22" s="20"/>
      <c r="P22" s="20"/>
      <c r="Q22" s="20"/>
      <c r="R22" s="20"/>
      <c r="S22" s="21"/>
    </row>
    <row r="23" spans="3:19">
      <c r="C23" s="19"/>
      <c r="D23" s="61" t="s">
        <v>22</v>
      </c>
      <c r="E23" s="58">
        <v>1114204</v>
      </c>
      <c r="F23" s="47">
        <v>461.34</v>
      </c>
      <c r="G23" s="20"/>
      <c r="H23" s="21"/>
      <c r="K23" s="19"/>
      <c r="O23" s="20"/>
      <c r="P23" s="20"/>
      <c r="Q23" s="20"/>
      <c r="R23" s="20"/>
      <c r="S23" s="21"/>
    </row>
    <row r="24" spans="3:19" ht="15.75" thickBot="1">
      <c r="C24" s="19"/>
      <c r="D24" s="62" t="s">
        <v>28</v>
      </c>
      <c r="E24" s="58">
        <v>1065782</v>
      </c>
      <c r="F24" s="47">
        <v>443.44999999999993</v>
      </c>
      <c r="G24" s="20"/>
      <c r="H24" s="21"/>
      <c r="K24" s="19"/>
      <c r="O24" s="20"/>
      <c r="P24" s="20"/>
      <c r="Q24" s="20"/>
      <c r="R24" s="20"/>
      <c r="S24" s="21"/>
    </row>
    <row r="25" spans="3:19" ht="15.75" thickBot="1">
      <c r="C25" s="19"/>
      <c r="D25" s="63" t="s">
        <v>360</v>
      </c>
      <c r="E25" s="59">
        <v>3215928</v>
      </c>
      <c r="F25" s="48">
        <v>1337.4900000000002</v>
      </c>
      <c r="G25" s="20"/>
      <c r="H25" s="21"/>
      <c r="K25" s="19"/>
      <c r="O25" s="20"/>
      <c r="P25" s="20"/>
      <c r="Q25" s="20"/>
      <c r="R25" s="20"/>
      <c r="S25" s="21"/>
    </row>
    <row r="26" spans="3:19">
      <c r="C26" s="19"/>
      <c r="D26" s="20"/>
      <c r="E26" s="20"/>
      <c r="F26" s="20"/>
      <c r="G26" s="20"/>
      <c r="H26" s="21"/>
      <c r="K26" s="19"/>
      <c r="O26" s="20"/>
      <c r="P26" s="20"/>
      <c r="Q26" s="20"/>
      <c r="R26" s="20"/>
      <c r="S26" s="21"/>
    </row>
    <row r="27" spans="3:19">
      <c r="C27" s="19"/>
      <c r="D27" s="20"/>
      <c r="E27" s="20"/>
      <c r="F27" s="20"/>
      <c r="G27" s="20"/>
      <c r="H27" s="21"/>
      <c r="K27" s="19"/>
      <c r="O27" s="20"/>
      <c r="P27" s="20"/>
      <c r="Q27" s="20"/>
      <c r="R27" s="20"/>
      <c r="S27" s="21"/>
    </row>
    <row r="28" spans="3:19">
      <c r="C28" s="19"/>
      <c r="D28" s="20"/>
      <c r="E28" s="20"/>
      <c r="F28" s="20"/>
      <c r="G28" s="20"/>
      <c r="H28" s="21"/>
      <c r="K28" s="19"/>
      <c r="O28" s="20"/>
      <c r="P28" s="20"/>
      <c r="Q28" s="20"/>
      <c r="R28" s="20"/>
      <c r="S28" s="21"/>
    </row>
    <row r="29" spans="3:19">
      <c r="C29" s="19"/>
      <c r="D29" s="20"/>
      <c r="E29" s="20"/>
      <c r="F29" s="20"/>
      <c r="G29" s="20"/>
      <c r="H29" s="21"/>
      <c r="K29" s="19"/>
      <c r="O29" s="20"/>
      <c r="P29" s="20"/>
      <c r="Q29" s="20"/>
      <c r="R29" s="20"/>
      <c r="S29" s="21"/>
    </row>
    <row r="30" spans="3:19">
      <c r="C30" s="19"/>
      <c r="D30" s="20"/>
      <c r="E30" s="20"/>
      <c r="F30" s="20"/>
      <c r="G30" s="20"/>
      <c r="H30" s="21"/>
      <c r="K30" s="19"/>
      <c r="O30" s="20"/>
      <c r="P30" s="20"/>
      <c r="Q30" s="20"/>
      <c r="R30" s="20"/>
      <c r="S30" s="21"/>
    </row>
    <row r="31" spans="3:19">
      <c r="C31" s="19"/>
      <c r="D31" s="20"/>
      <c r="E31" s="20"/>
      <c r="F31" s="20"/>
      <c r="G31" s="20"/>
      <c r="H31" s="21"/>
      <c r="K31" s="19"/>
      <c r="O31" s="20"/>
      <c r="P31" s="20"/>
      <c r="Q31" s="20"/>
      <c r="R31" s="20"/>
      <c r="S31" s="21"/>
    </row>
    <row r="32" spans="3:19">
      <c r="C32" s="19"/>
      <c r="D32" s="20"/>
      <c r="E32" s="20"/>
      <c r="F32" s="20"/>
      <c r="G32" s="20"/>
      <c r="H32" s="21"/>
      <c r="K32" s="19"/>
      <c r="O32" s="20"/>
      <c r="P32" s="20"/>
      <c r="Q32" s="20"/>
      <c r="R32" s="20"/>
      <c r="S32" s="21"/>
    </row>
    <row r="33" spans="2:19">
      <c r="C33" s="19"/>
      <c r="D33" s="20"/>
      <c r="E33" s="20"/>
      <c r="F33" s="20"/>
      <c r="G33" s="20"/>
      <c r="H33" s="21"/>
      <c r="K33" s="19"/>
      <c r="O33" s="20"/>
      <c r="P33" s="20"/>
      <c r="Q33" s="20"/>
      <c r="R33" s="20"/>
      <c r="S33" s="21"/>
    </row>
    <row r="34" spans="2:19">
      <c r="C34" s="19"/>
      <c r="D34" s="20"/>
      <c r="E34" s="20"/>
      <c r="F34" s="20"/>
      <c r="G34" s="20"/>
      <c r="H34" s="21"/>
      <c r="K34" s="19"/>
      <c r="O34" s="20"/>
      <c r="P34" s="20"/>
      <c r="Q34" s="20"/>
      <c r="R34" s="20"/>
      <c r="S34" s="21"/>
    </row>
    <row r="35" spans="2:19">
      <c r="C35" s="19"/>
      <c r="D35" s="20"/>
      <c r="E35" s="20"/>
      <c r="F35" s="20"/>
      <c r="G35" s="20"/>
      <c r="H35" s="21"/>
      <c r="K35" s="19"/>
      <c r="O35" s="20"/>
      <c r="P35" s="20"/>
      <c r="Q35" s="20"/>
      <c r="R35" s="20"/>
      <c r="S35" s="21"/>
    </row>
    <row r="36" spans="2:19">
      <c r="C36" s="19"/>
      <c r="D36" s="20"/>
      <c r="E36" s="20"/>
      <c r="F36" s="20"/>
      <c r="G36" s="20"/>
      <c r="H36" s="21"/>
      <c r="K36" s="19"/>
      <c r="O36" s="20"/>
      <c r="P36" s="20"/>
      <c r="Q36" s="20"/>
      <c r="R36" s="20"/>
      <c r="S36" s="21"/>
    </row>
    <row r="37" spans="2:19">
      <c r="C37" s="19"/>
      <c r="D37" s="20"/>
      <c r="E37" s="20"/>
      <c r="F37" s="20"/>
      <c r="G37" s="20"/>
      <c r="H37" s="21"/>
      <c r="K37" s="19"/>
      <c r="O37" s="20"/>
      <c r="P37" s="20"/>
      <c r="Q37" s="20"/>
      <c r="R37" s="20"/>
      <c r="S37" s="21"/>
    </row>
    <row r="38" spans="2:19">
      <c r="C38" s="19"/>
      <c r="D38" s="20"/>
      <c r="E38" s="20"/>
      <c r="F38" s="20"/>
      <c r="G38" s="20"/>
      <c r="H38" s="21"/>
      <c r="K38" s="19"/>
      <c r="O38" s="20"/>
      <c r="P38" s="20"/>
      <c r="Q38" s="20"/>
      <c r="R38" s="20"/>
      <c r="S38" s="21"/>
    </row>
    <row r="39" spans="2:19">
      <c r="C39" s="19"/>
      <c r="D39" s="20"/>
      <c r="E39" s="20"/>
      <c r="F39" s="20"/>
      <c r="G39" s="20"/>
      <c r="H39" s="21"/>
      <c r="K39" s="19"/>
      <c r="O39" s="20"/>
      <c r="P39" s="20"/>
      <c r="Q39" s="20"/>
      <c r="R39" s="20"/>
      <c r="S39" s="21"/>
    </row>
    <row r="40" spans="2:19" ht="15.75" thickBot="1">
      <c r="C40" s="24"/>
      <c r="D40" s="25"/>
      <c r="E40" s="25"/>
      <c r="F40" s="25"/>
      <c r="G40" s="25"/>
      <c r="H40" s="26"/>
      <c r="K40" s="19"/>
      <c r="O40" s="20"/>
      <c r="P40" s="20"/>
      <c r="Q40" s="20"/>
      <c r="R40" s="20"/>
      <c r="S40" s="21"/>
    </row>
    <row r="41" spans="2:19">
      <c r="K41" s="19"/>
      <c r="O41" s="20"/>
      <c r="P41" s="20"/>
      <c r="Q41" s="20"/>
      <c r="R41" s="20"/>
      <c r="S41" s="21"/>
    </row>
    <row r="42" spans="2:19">
      <c r="K42" s="19"/>
      <c r="O42" s="20"/>
      <c r="P42" s="20"/>
      <c r="Q42" s="20"/>
      <c r="R42" s="20"/>
      <c r="S42" s="21"/>
    </row>
    <row r="43" spans="2:19" ht="15.75" thickBot="1">
      <c r="K43" s="19"/>
      <c r="O43" s="20"/>
      <c r="P43" s="20"/>
      <c r="Q43" s="20"/>
      <c r="R43" s="20"/>
      <c r="S43" s="21"/>
    </row>
    <row r="44" spans="2:19" ht="21">
      <c r="B44" s="142" t="s">
        <v>442</v>
      </c>
      <c r="C44" s="143"/>
      <c r="D44" s="143"/>
      <c r="E44" s="143"/>
      <c r="F44" s="143"/>
      <c r="G44" s="143"/>
      <c r="H44" s="143"/>
      <c r="I44" s="144"/>
      <c r="K44" s="19"/>
      <c r="O44" s="20"/>
      <c r="P44" s="20"/>
      <c r="Q44" s="20"/>
      <c r="R44" s="20"/>
      <c r="S44" s="21"/>
    </row>
    <row r="45" spans="2:19">
      <c r="B45" s="19"/>
      <c r="C45" s="20"/>
      <c r="D45" s="20"/>
      <c r="E45" s="20"/>
      <c r="F45" s="20"/>
      <c r="G45" s="20"/>
      <c r="H45" s="20"/>
      <c r="I45" s="21"/>
      <c r="K45" s="19"/>
      <c r="O45" s="20"/>
      <c r="P45" s="20"/>
      <c r="Q45" s="20"/>
      <c r="R45" s="20"/>
      <c r="S45" s="21"/>
    </row>
    <row r="46" spans="2:19">
      <c r="B46" s="19"/>
      <c r="C46" s="20"/>
      <c r="D46" s="20"/>
      <c r="E46" s="20"/>
      <c r="F46" s="46" t="s">
        <v>1</v>
      </c>
      <c r="G46" s="46" t="s">
        <v>340</v>
      </c>
      <c r="H46" s="20"/>
      <c r="I46" s="21"/>
      <c r="K46" s="19"/>
      <c r="O46" s="20"/>
      <c r="P46" s="20"/>
      <c r="Q46" s="20"/>
      <c r="R46" s="20"/>
      <c r="S46" s="21"/>
    </row>
    <row r="47" spans="2:19">
      <c r="B47" s="19"/>
      <c r="E47" s="20"/>
      <c r="F47" s="75" t="s">
        <v>13</v>
      </c>
      <c r="G47" s="76">
        <f>SUMIF('Engagement Summary'!B:B,"Instagram",'Engagement Summary'!H:H)</f>
        <v>1030447</v>
      </c>
      <c r="H47" s="20"/>
      <c r="I47" s="21"/>
      <c r="K47" s="19"/>
      <c r="O47" s="20"/>
      <c r="P47" s="20"/>
      <c r="Q47" s="20"/>
      <c r="R47" s="20"/>
      <c r="S47" s="21"/>
    </row>
    <row r="48" spans="2:19">
      <c r="B48" s="19"/>
      <c r="C48" s="5" t="s">
        <v>359</v>
      </c>
      <c r="D48" t="s">
        <v>382</v>
      </c>
      <c r="E48" s="20"/>
      <c r="F48" s="75" t="s">
        <v>22</v>
      </c>
      <c r="G48" s="76">
        <f>SUMIF('Engagement Summary'!B:B,"Twitter",'Engagement Summary'!H:H)</f>
        <v>1114204</v>
      </c>
      <c r="H48" s="20"/>
      <c r="I48" s="21"/>
      <c r="K48" s="19"/>
      <c r="O48" s="20"/>
      <c r="P48" s="20"/>
      <c r="Q48" s="20"/>
      <c r="R48" s="20"/>
      <c r="S48" s="21"/>
    </row>
    <row r="49" spans="2:19">
      <c r="B49" s="19"/>
      <c r="C49" s="6" t="s">
        <v>13</v>
      </c>
      <c r="D49" s="14">
        <v>0.32351643750607489</v>
      </c>
      <c r="E49" s="20"/>
      <c r="F49" s="75" t="s">
        <v>402</v>
      </c>
      <c r="G49" s="76">
        <f>SUMIF('Engagement Summary'!B:B,"Youtube",'Engagement Summary'!H:H)</f>
        <v>1065782</v>
      </c>
      <c r="H49" s="20"/>
      <c r="I49" s="21"/>
      <c r="K49" s="19"/>
      <c r="O49" s="20"/>
      <c r="P49" s="20"/>
      <c r="Q49" s="20"/>
      <c r="R49" s="20"/>
      <c r="S49" s="21"/>
    </row>
    <row r="50" spans="2:19">
      <c r="B50" s="19"/>
      <c r="C50" s="6" t="s">
        <v>22</v>
      </c>
      <c r="D50" s="14">
        <v>0.34492968171724642</v>
      </c>
      <c r="E50" s="20"/>
      <c r="F50" s="77" t="s">
        <v>360</v>
      </c>
      <c r="G50" s="78">
        <f>SUM(G47,G48,G49)</f>
        <v>3210433</v>
      </c>
      <c r="H50" s="20"/>
      <c r="I50" s="21"/>
      <c r="K50" s="19"/>
      <c r="O50" s="20"/>
      <c r="P50" s="20"/>
      <c r="Q50" s="20"/>
      <c r="R50" s="20"/>
      <c r="S50" s="21"/>
    </row>
    <row r="51" spans="2:19" ht="15.75" thickBot="1">
      <c r="B51" s="19"/>
      <c r="C51" s="6" t="s">
        <v>28</v>
      </c>
      <c r="D51" s="14">
        <v>0.33155388077667858</v>
      </c>
      <c r="E51" s="20"/>
      <c r="F51" s="20"/>
      <c r="G51" s="20"/>
      <c r="H51" s="20"/>
      <c r="I51" s="21"/>
      <c r="K51" s="19"/>
      <c r="O51" s="20"/>
      <c r="P51" s="20"/>
      <c r="Q51" s="20"/>
      <c r="R51" s="20"/>
      <c r="S51" s="21"/>
    </row>
    <row r="52" spans="2:19" ht="15.75" thickBot="1">
      <c r="B52" s="19"/>
      <c r="C52" s="6" t="s">
        <v>360</v>
      </c>
      <c r="D52" s="14">
        <v>1</v>
      </c>
      <c r="E52" s="20"/>
      <c r="F52" s="52" t="s">
        <v>359</v>
      </c>
      <c r="G52" s="55" t="s">
        <v>371</v>
      </c>
      <c r="H52" s="20"/>
      <c r="I52" s="21"/>
      <c r="K52" s="19"/>
      <c r="O52" s="20"/>
      <c r="P52" s="20"/>
      <c r="Q52" s="20"/>
      <c r="R52" s="20"/>
      <c r="S52" s="21"/>
    </row>
    <row r="53" spans="2:19">
      <c r="B53" s="19"/>
      <c r="E53" s="20"/>
      <c r="F53" s="60" t="s">
        <v>13</v>
      </c>
      <c r="G53" s="49">
        <v>15642297</v>
      </c>
      <c r="H53" s="20"/>
      <c r="I53" s="21"/>
      <c r="K53" s="19"/>
      <c r="O53" s="20"/>
      <c r="P53" s="20"/>
      <c r="Q53" s="20"/>
      <c r="R53" s="20"/>
      <c r="S53" s="21"/>
    </row>
    <row r="54" spans="2:19">
      <c r="B54" s="19"/>
      <c r="E54" s="20"/>
      <c r="F54" s="61" t="s">
        <v>22</v>
      </c>
      <c r="G54" s="50">
        <v>14575123</v>
      </c>
      <c r="H54" s="20"/>
      <c r="I54" s="21"/>
      <c r="K54" s="19"/>
      <c r="O54" s="20"/>
      <c r="P54" s="20"/>
      <c r="Q54" s="20"/>
      <c r="R54" s="20"/>
      <c r="S54" s="21"/>
    </row>
    <row r="55" spans="2:19" ht="15.75" thickBot="1">
      <c r="B55" s="19"/>
      <c r="E55" s="20"/>
      <c r="F55" s="62" t="s">
        <v>28</v>
      </c>
      <c r="G55" s="50">
        <v>16284387</v>
      </c>
      <c r="H55" s="20"/>
      <c r="I55" s="21"/>
      <c r="K55" s="19"/>
      <c r="O55" s="20"/>
      <c r="P55" s="20"/>
      <c r="Q55" s="20"/>
      <c r="R55" s="20"/>
      <c r="S55" s="21"/>
    </row>
    <row r="56" spans="2:19" ht="15.75" thickBot="1">
      <c r="B56" s="19"/>
      <c r="E56" s="20"/>
      <c r="F56" s="63" t="s">
        <v>360</v>
      </c>
      <c r="G56" s="51">
        <v>46501807</v>
      </c>
      <c r="H56" s="20"/>
      <c r="I56" s="21"/>
      <c r="K56" s="19"/>
      <c r="O56" s="20"/>
      <c r="P56" s="20"/>
      <c r="Q56" s="20"/>
      <c r="R56" s="20"/>
      <c r="S56" s="21"/>
    </row>
    <row r="57" spans="2:19">
      <c r="B57" s="19"/>
      <c r="E57" s="20"/>
      <c r="H57" s="20"/>
      <c r="I57" s="21"/>
      <c r="K57" s="19"/>
      <c r="O57" s="20"/>
      <c r="P57" s="20"/>
      <c r="Q57" s="20"/>
      <c r="R57" s="20"/>
      <c r="S57" s="21"/>
    </row>
    <row r="58" spans="2:19">
      <c r="B58" s="19"/>
      <c r="E58" s="20"/>
      <c r="F58" s="20"/>
      <c r="G58" s="20"/>
      <c r="H58" s="20"/>
      <c r="I58" s="21"/>
      <c r="K58" s="19"/>
      <c r="O58" s="20"/>
      <c r="P58" s="20"/>
      <c r="Q58" s="20"/>
      <c r="R58" s="20"/>
      <c r="S58" s="21"/>
    </row>
    <row r="59" spans="2:19" ht="15.75">
      <c r="B59" s="19"/>
      <c r="E59" s="20"/>
      <c r="F59" s="79"/>
      <c r="G59" s="79"/>
      <c r="H59" s="79"/>
      <c r="I59" s="21"/>
      <c r="K59" s="19"/>
      <c r="O59" s="20"/>
      <c r="P59" s="20"/>
      <c r="Q59" s="20"/>
      <c r="R59" s="20"/>
      <c r="S59" s="21"/>
    </row>
    <row r="60" spans="2:19" ht="15.75">
      <c r="B60" s="19"/>
      <c r="E60" s="20"/>
      <c r="F60" s="79"/>
      <c r="G60" s="79"/>
      <c r="H60" s="79"/>
      <c r="I60" s="21"/>
      <c r="K60" s="19"/>
      <c r="O60" s="20"/>
      <c r="P60" s="20"/>
      <c r="Q60" s="20"/>
      <c r="R60" s="20"/>
      <c r="S60" s="21"/>
    </row>
    <row r="61" spans="2:19" ht="15.75">
      <c r="B61" s="19"/>
      <c r="E61" s="20"/>
      <c r="F61" s="79"/>
      <c r="G61" s="79"/>
      <c r="H61" s="79"/>
      <c r="I61" s="21"/>
      <c r="K61" s="19"/>
      <c r="O61" s="20"/>
      <c r="P61" s="20"/>
      <c r="Q61" s="20"/>
      <c r="R61" s="20"/>
      <c r="S61" s="21"/>
    </row>
    <row r="62" spans="2:19" ht="16.5" thickBot="1">
      <c r="B62" s="19"/>
      <c r="E62" s="20"/>
      <c r="F62" s="79"/>
      <c r="G62" s="79"/>
      <c r="H62" s="79"/>
      <c r="I62" s="21"/>
      <c r="K62" s="19"/>
      <c r="O62" s="20"/>
      <c r="P62" s="20"/>
      <c r="Q62" s="20"/>
      <c r="R62" s="20"/>
      <c r="S62" s="21"/>
    </row>
    <row r="63" spans="2:19" ht="15.75">
      <c r="B63" s="19"/>
      <c r="E63" s="20"/>
      <c r="F63" s="79"/>
      <c r="G63" s="79"/>
      <c r="H63" s="79"/>
      <c r="I63" s="21"/>
      <c r="K63" s="19"/>
      <c r="O63" s="20"/>
      <c r="P63" s="20"/>
      <c r="Q63" s="20"/>
      <c r="R63" s="20"/>
      <c r="S63" s="21"/>
    </row>
    <row r="64" spans="2:19" ht="15.75">
      <c r="B64" s="19"/>
      <c r="E64" s="20"/>
      <c r="F64" s="79" t="s">
        <v>403</v>
      </c>
      <c r="G64" s="79"/>
      <c r="H64" s="79"/>
      <c r="I64" s="21"/>
      <c r="K64" s="19"/>
      <c r="O64" s="20"/>
      <c r="P64" s="20"/>
      <c r="Q64" s="20"/>
      <c r="R64" s="20"/>
      <c r="S64" s="21"/>
    </row>
    <row r="65" spans="2:19" ht="15.75">
      <c r="B65" s="19"/>
      <c r="E65" s="20"/>
      <c r="F65" s="37" t="e">
        <f>SUM(GETPIVOTDATA("Engagement Rate t",$C$47,"Platform","Instagram"),GETPIVOTDATA("Engagement Rate t",$C$47,"Platform","Twitter"))</f>
        <v>#REF!</v>
      </c>
      <c r="G65" s="79"/>
      <c r="H65" s="79"/>
      <c r="I65" s="21"/>
      <c r="K65" s="19"/>
      <c r="O65" s="20"/>
      <c r="P65" s="20"/>
      <c r="Q65" s="20"/>
      <c r="R65" s="20"/>
      <c r="S65" s="21"/>
    </row>
    <row r="66" spans="2:19" ht="15.75">
      <c r="B66" s="19"/>
      <c r="E66" s="20"/>
      <c r="F66" s="79"/>
      <c r="G66" s="79"/>
      <c r="H66" s="79"/>
      <c r="I66" s="21"/>
      <c r="K66" s="19"/>
      <c r="O66" s="20"/>
      <c r="P66" s="20"/>
      <c r="Q66" s="20"/>
      <c r="R66" s="20"/>
      <c r="S66" s="21"/>
    </row>
    <row r="67" spans="2:19" ht="15.75">
      <c r="B67" s="19"/>
      <c r="E67" s="20"/>
      <c r="F67" s="79"/>
      <c r="G67" s="79"/>
      <c r="H67" s="79"/>
      <c r="I67" s="21"/>
      <c r="K67" s="19"/>
      <c r="O67" s="20"/>
      <c r="P67" s="20"/>
      <c r="Q67" s="20"/>
      <c r="R67" s="20"/>
      <c r="S67" s="21"/>
    </row>
    <row r="68" spans="2:19" ht="15.75">
      <c r="B68" s="19"/>
      <c r="E68" s="20"/>
      <c r="F68" s="79"/>
      <c r="G68" s="79"/>
      <c r="H68" s="79"/>
      <c r="I68" s="21"/>
      <c r="K68" s="19"/>
      <c r="O68" s="20"/>
      <c r="P68" s="20"/>
      <c r="Q68" s="20"/>
      <c r="R68" s="20"/>
      <c r="S68" s="21"/>
    </row>
    <row r="69" spans="2:19" ht="15.75">
      <c r="B69" s="19"/>
      <c r="E69" s="20"/>
      <c r="F69" s="79"/>
      <c r="G69" s="79"/>
      <c r="H69" s="79"/>
      <c r="I69" s="21"/>
      <c r="K69" s="19"/>
      <c r="O69" s="20"/>
      <c r="P69" s="20"/>
      <c r="Q69" s="20"/>
      <c r="R69" s="20"/>
      <c r="S69" s="21"/>
    </row>
    <row r="70" spans="2:19" ht="15.75">
      <c r="B70" s="19"/>
      <c r="C70" s="20"/>
      <c r="D70" s="20"/>
      <c r="E70" s="20"/>
      <c r="F70" s="79"/>
      <c r="G70" s="79"/>
      <c r="H70" s="79"/>
      <c r="I70" s="21"/>
      <c r="K70" s="19"/>
      <c r="O70" s="20"/>
      <c r="P70" s="20"/>
      <c r="Q70" s="20"/>
      <c r="R70" s="20"/>
      <c r="S70" s="21"/>
    </row>
    <row r="71" spans="2:19" ht="15.75">
      <c r="B71" s="19"/>
      <c r="C71" s="20"/>
      <c r="D71" s="20"/>
      <c r="E71" s="20"/>
      <c r="F71" s="79"/>
      <c r="G71" s="79"/>
      <c r="H71" s="79"/>
      <c r="I71" s="21"/>
      <c r="K71" s="19"/>
      <c r="O71" s="20"/>
      <c r="P71" s="20"/>
      <c r="Q71" s="20"/>
      <c r="R71" s="20"/>
      <c r="S71" s="21"/>
    </row>
    <row r="72" spans="2:19" ht="15.75">
      <c r="B72" s="19"/>
      <c r="C72" s="20"/>
      <c r="D72" s="20"/>
      <c r="E72" s="20"/>
      <c r="F72" s="79"/>
      <c r="G72" s="79"/>
      <c r="H72" s="79"/>
      <c r="I72" s="21"/>
      <c r="K72" s="19"/>
      <c r="O72" s="20"/>
      <c r="P72" s="20"/>
      <c r="Q72" s="20"/>
      <c r="R72" s="20"/>
      <c r="S72" s="21"/>
    </row>
    <row r="73" spans="2:19" ht="15.75">
      <c r="B73" s="19"/>
      <c r="C73" s="20"/>
      <c r="D73" s="20"/>
      <c r="E73" s="20"/>
      <c r="F73" s="79"/>
      <c r="G73" s="79"/>
      <c r="H73" s="79"/>
      <c r="I73" s="21"/>
      <c r="K73" s="19"/>
      <c r="O73" s="20"/>
      <c r="P73" s="20"/>
      <c r="Q73" s="20"/>
      <c r="R73" s="20"/>
      <c r="S73" s="21"/>
    </row>
    <row r="74" spans="2:19" ht="15.75" thickBot="1">
      <c r="B74" s="24"/>
      <c r="C74" s="25"/>
      <c r="D74" s="25"/>
      <c r="E74" s="25"/>
      <c r="F74" s="25"/>
      <c r="G74" s="25"/>
      <c r="H74" s="25"/>
      <c r="I74" s="26"/>
      <c r="K74" s="19"/>
      <c r="O74" s="20"/>
      <c r="P74" s="20"/>
      <c r="Q74" s="20"/>
      <c r="R74" s="20"/>
      <c r="S74" s="21"/>
    </row>
    <row r="75" spans="2:19">
      <c r="K75" s="19"/>
      <c r="O75" s="20"/>
      <c r="P75" s="20"/>
      <c r="Q75" s="20"/>
      <c r="R75" s="20"/>
      <c r="S75" s="21"/>
    </row>
    <row r="76" spans="2:19" ht="15.75" customHeight="1">
      <c r="K76" s="19"/>
      <c r="O76" s="20"/>
      <c r="P76" s="20"/>
      <c r="Q76" s="20"/>
      <c r="R76" s="20"/>
      <c r="S76" s="21"/>
    </row>
    <row r="77" spans="2:19" ht="15.75" customHeight="1">
      <c r="K77" s="19"/>
      <c r="O77" s="20"/>
      <c r="P77" s="20"/>
      <c r="Q77" s="20"/>
      <c r="R77" s="20"/>
      <c r="S77" s="21"/>
    </row>
    <row r="78" spans="2:19" ht="15.75" thickBot="1">
      <c r="K78" s="19"/>
      <c r="O78" s="20"/>
      <c r="P78" s="20"/>
      <c r="Q78" s="20"/>
      <c r="R78" s="20"/>
      <c r="S78" s="21"/>
    </row>
    <row r="79" spans="2:19" ht="15.75" thickBot="1">
      <c r="K79" s="19"/>
      <c r="O79" s="20"/>
      <c r="P79" s="20"/>
      <c r="Q79" s="20"/>
      <c r="R79" s="20"/>
      <c r="S79" s="21"/>
    </row>
    <row r="80" spans="2:19" ht="15.75" customHeight="1" thickBot="1">
      <c r="K80" s="24"/>
      <c r="L80" s="25"/>
      <c r="M80" s="25"/>
      <c r="N80" s="25"/>
      <c r="O80" s="25"/>
      <c r="P80" s="25"/>
      <c r="Q80" s="25"/>
      <c r="R80" s="25"/>
      <c r="S80" s="26"/>
    </row>
    <row r="81" spans="11:15">
      <c r="K81" s="20"/>
      <c r="L81" s="20"/>
      <c r="M81" s="20"/>
      <c r="N81" s="20"/>
      <c r="O81" s="20"/>
    </row>
    <row r="82" spans="11:15">
      <c r="K82" s="20"/>
      <c r="L82" s="20"/>
      <c r="M82" s="20"/>
      <c r="N82" s="20"/>
      <c r="O82" s="20"/>
    </row>
    <row r="83" spans="11:15">
      <c r="K83" s="20"/>
      <c r="L83" s="20"/>
      <c r="M83" s="20"/>
      <c r="N83" s="20"/>
      <c r="O83" s="20"/>
    </row>
    <row r="84" spans="11:15" ht="15.75" customHeight="1">
      <c r="K84" s="20"/>
      <c r="L84" s="20"/>
      <c r="M84" s="20"/>
      <c r="N84" s="20"/>
      <c r="O84" s="20"/>
    </row>
    <row r="85" spans="11:15" ht="15.75" customHeight="1">
      <c r="K85" s="20"/>
      <c r="L85" s="20"/>
      <c r="M85" s="20"/>
      <c r="N85" s="20"/>
      <c r="O85" s="20"/>
    </row>
    <row r="86" spans="11:15">
      <c r="K86" s="20"/>
      <c r="L86" s="20"/>
      <c r="M86" s="20"/>
      <c r="N86" s="20"/>
      <c r="O86" s="20"/>
    </row>
    <row r="87" spans="11:15">
      <c r="K87" s="20"/>
      <c r="L87" s="20"/>
      <c r="M87" s="20"/>
      <c r="N87" s="20"/>
      <c r="O87" s="20"/>
    </row>
    <row r="88" spans="11:15" ht="15.75" customHeight="1">
      <c r="K88" s="20"/>
      <c r="L88" s="20"/>
      <c r="M88" s="20"/>
      <c r="N88" s="20"/>
      <c r="O88" s="20"/>
    </row>
    <row r="89" spans="11:15" ht="15.75" customHeight="1">
      <c r="K89" s="20"/>
      <c r="L89" s="20"/>
      <c r="M89" s="20"/>
      <c r="N89" s="20"/>
      <c r="O89" s="20"/>
    </row>
    <row r="90" spans="11:15">
      <c r="K90" s="20"/>
      <c r="L90" s="20"/>
      <c r="M90" s="20"/>
      <c r="N90" s="20"/>
      <c r="O90" s="20"/>
    </row>
    <row r="91" spans="11:15">
      <c r="K91" s="20"/>
      <c r="L91" s="20"/>
      <c r="M91" s="20"/>
      <c r="N91" s="20"/>
      <c r="O91" s="20"/>
    </row>
    <row r="92" spans="11:15">
      <c r="K92" s="20"/>
      <c r="L92" s="20"/>
      <c r="M92" s="20"/>
      <c r="N92" s="20"/>
      <c r="O92" s="20"/>
    </row>
    <row r="93" spans="11:15">
      <c r="K93" s="20"/>
      <c r="L93" s="20"/>
      <c r="M93" s="20"/>
      <c r="N93" s="20"/>
      <c r="O93" s="20"/>
    </row>
    <row r="94" spans="11:15">
      <c r="K94" s="20"/>
      <c r="L94" s="20"/>
      <c r="M94" s="20"/>
      <c r="N94" s="20"/>
      <c r="O94" s="20"/>
    </row>
    <row r="95" spans="11:15">
      <c r="K95" s="20"/>
      <c r="L95" s="20"/>
      <c r="M95" s="20"/>
      <c r="N95" s="20"/>
      <c r="O95" s="20"/>
    </row>
    <row r="96" spans="11:15">
      <c r="K96" s="20"/>
      <c r="L96" s="20"/>
      <c r="M96" s="20"/>
      <c r="N96" s="20"/>
      <c r="O96" s="20"/>
    </row>
    <row r="97" spans="11:15">
      <c r="K97" s="20"/>
      <c r="L97" s="20"/>
      <c r="M97" s="20"/>
      <c r="N97" s="20"/>
      <c r="O97" s="20"/>
    </row>
    <row r="98" spans="11:15">
      <c r="K98" s="20"/>
      <c r="L98" s="20"/>
      <c r="M98" s="20"/>
      <c r="N98" s="20"/>
      <c r="O98" s="20"/>
    </row>
    <row r="99" spans="11:15">
      <c r="K99" s="20"/>
      <c r="L99" s="20"/>
      <c r="M99" s="20"/>
      <c r="N99" s="20"/>
      <c r="O99" s="20"/>
    </row>
    <row r="100" spans="11:15">
      <c r="K100" s="20"/>
      <c r="L100" s="20"/>
      <c r="M100" s="20"/>
      <c r="N100" s="20"/>
      <c r="O100" s="20"/>
    </row>
    <row r="101" spans="11:15">
      <c r="K101" s="20"/>
      <c r="L101" s="20"/>
      <c r="M101" s="20"/>
      <c r="N101" s="20"/>
      <c r="O101" s="20"/>
    </row>
    <row r="102" spans="11:15">
      <c r="K102" s="20"/>
      <c r="L102" s="20"/>
      <c r="M102" s="20"/>
      <c r="N102" s="20"/>
      <c r="O102" s="20"/>
    </row>
    <row r="103" spans="11:15">
      <c r="K103" s="20"/>
      <c r="L103" s="20"/>
      <c r="M103" s="20"/>
      <c r="N103" s="20"/>
      <c r="O103" s="20"/>
    </row>
    <row r="104" spans="11:15">
      <c r="K104" s="20"/>
      <c r="L104" s="20"/>
      <c r="M104" s="20"/>
      <c r="N104" s="20"/>
      <c r="O104" s="20"/>
    </row>
    <row r="105" spans="11:15">
      <c r="K105" s="20"/>
      <c r="L105" s="20"/>
      <c r="M105" s="20"/>
      <c r="N105" s="20"/>
      <c r="O105" s="20"/>
    </row>
    <row r="106" spans="11:15">
      <c r="K106" s="20"/>
      <c r="L106" s="20"/>
      <c r="M106" s="20"/>
      <c r="N106" s="20"/>
      <c r="O106" s="20"/>
    </row>
    <row r="107" spans="11:15">
      <c r="K107" s="20"/>
      <c r="L107" s="20"/>
      <c r="M107" s="20"/>
      <c r="N107" s="20"/>
      <c r="O107" s="20"/>
    </row>
    <row r="108" spans="11:15">
      <c r="K108" s="20"/>
      <c r="L108" s="20"/>
      <c r="M108" s="20"/>
      <c r="N108" s="20"/>
      <c r="O108" s="20"/>
    </row>
    <row r="109" spans="11:15">
      <c r="K109" s="20"/>
      <c r="L109" s="20"/>
      <c r="M109" s="20"/>
      <c r="N109" s="20"/>
      <c r="O109" s="20"/>
    </row>
    <row r="110" spans="11:15">
      <c r="K110" s="20"/>
      <c r="L110" s="20"/>
      <c r="M110" s="20"/>
      <c r="N110" s="20"/>
      <c r="O110" s="20"/>
    </row>
    <row r="111" spans="11:15">
      <c r="K111" s="20"/>
      <c r="L111" s="20"/>
      <c r="M111" s="20"/>
      <c r="N111" s="20"/>
      <c r="O111" s="20"/>
    </row>
    <row r="112" spans="11:15">
      <c r="K112" s="20"/>
      <c r="L112" s="20"/>
      <c r="M112" s="20"/>
      <c r="N112" s="20"/>
      <c r="O112" s="20"/>
    </row>
    <row r="113" spans="11:15">
      <c r="K113" s="20"/>
      <c r="L113" s="20"/>
      <c r="M113" s="20"/>
      <c r="N113" s="20"/>
      <c r="O113" s="20"/>
    </row>
    <row r="114" spans="11:15">
      <c r="K114" s="20"/>
      <c r="L114" s="20"/>
      <c r="M114" s="20"/>
      <c r="N114" s="20"/>
      <c r="O114" s="20"/>
    </row>
    <row r="115" spans="11:15">
      <c r="K115" s="20"/>
      <c r="L115" s="20"/>
      <c r="M115" s="20"/>
      <c r="N115" s="20"/>
      <c r="O115" s="20"/>
    </row>
    <row r="116" spans="11:15">
      <c r="K116" s="20"/>
      <c r="L116" s="20"/>
      <c r="M116" s="20"/>
      <c r="N116" s="20"/>
      <c r="O116" s="20"/>
    </row>
    <row r="117" spans="11:15">
      <c r="K117" s="20"/>
      <c r="L117" s="20"/>
      <c r="M117" s="20"/>
      <c r="N117" s="20"/>
      <c r="O117" s="20"/>
    </row>
    <row r="118" spans="11:15">
      <c r="K118" s="20"/>
      <c r="L118" s="20"/>
      <c r="M118" s="20"/>
      <c r="N118" s="20"/>
      <c r="O118" s="20"/>
    </row>
    <row r="119" spans="11:15">
      <c r="K119" s="20"/>
      <c r="L119" s="20"/>
      <c r="M119" s="20"/>
      <c r="N119" s="20"/>
      <c r="O119" s="20"/>
    </row>
    <row r="120" spans="11:15">
      <c r="K120" s="20"/>
      <c r="L120" s="20"/>
      <c r="M120" s="20"/>
      <c r="N120" s="20"/>
      <c r="O120" s="20"/>
    </row>
    <row r="121" spans="11:15">
      <c r="K121" s="20"/>
      <c r="L121" s="20"/>
      <c r="M121" s="20"/>
      <c r="N121" s="20"/>
      <c r="O121" s="20"/>
    </row>
    <row r="122" spans="11:15">
      <c r="K122" s="20"/>
      <c r="L122" s="20"/>
      <c r="M122" s="20"/>
      <c r="N122" s="20"/>
      <c r="O122" s="20"/>
    </row>
    <row r="123" spans="11:15">
      <c r="K123" s="20"/>
      <c r="L123" s="20"/>
      <c r="M123" s="20"/>
      <c r="N123" s="20"/>
      <c r="O123" s="20"/>
    </row>
    <row r="124" spans="11:15">
      <c r="K124" s="20"/>
      <c r="L124" s="20"/>
      <c r="M124" s="20"/>
      <c r="N124" s="20"/>
      <c r="O124" s="20"/>
    </row>
    <row r="125" spans="11:15">
      <c r="K125" s="20"/>
      <c r="L125" s="20"/>
      <c r="M125" s="20"/>
      <c r="N125" s="20"/>
      <c r="O125" s="20"/>
    </row>
    <row r="126" spans="11:15">
      <c r="K126" s="20"/>
      <c r="L126" s="20"/>
      <c r="M126" s="20"/>
      <c r="N126" s="20"/>
      <c r="O126" s="20"/>
    </row>
    <row r="127" spans="11:15">
      <c r="K127" s="20"/>
      <c r="L127" s="20"/>
      <c r="M127" s="20"/>
      <c r="N127" s="20"/>
      <c r="O127" s="20"/>
    </row>
    <row r="128" spans="11:15">
      <c r="K128" s="20"/>
      <c r="L128" s="20"/>
      <c r="M128" s="20"/>
      <c r="N128" s="20"/>
      <c r="O128" s="20"/>
    </row>
    <row r="129" spans="11:15">
      <c r="K129" s="20"/>
      <c r="L129" s="20"/>
      <c r="M129" s="20"/>
      <c r="N129" s="20"/>
      <c r="O129" s="20"/>
    </row>
    <row r="130" spans="11:15">
      <c r="K130" s="20"/>
      <c r="L130" s="20"/>
      <c r="M130" s="20"/>
      <c r="N130" s="20"/>
      <c r="O130" s="20"/>
    </row>
    <row r="131" spans="11:15">
      <c r="K131" s="20"/>
      <c r="L131" s="20"/>
      <c r="M131" s="20"/>
      <c r="N131" s="20"/>
      <c r="O131" s="20"/>
    </row>
    <row r="132" spans="11:15">
      <c r="K132" s="20"/>
      <c r="L132" s="20"/>
      <c r="M132" s="20"/>
      <c r="N132" s="20"/>
      <c r="O132" s="20"/>
    </row>
    <row r="133" spans="11:15">
      <c r="K133" s="20"/>
      <c r="L133" s="20"/>
      <c r="M133" s="20"/>
      <c r="N133" s="20"/>
      <c r="O133" s="20"/>
    </row>
    <row r="134" spans="11:15">
      <c r="K134" s="20"/>
      <c r="L134" s="20"/>
      <c r="M134" s="20"/>
      <c r="N134" s="20"/>
      <c r="O134" s="20"/>
    </row>
    <row r="135" spans="11:15">
      <c r="K135" s="20"/>
      <c r="L135" s="20"/>
      <c r="M135" s="20"/>
      <c r="N135" s="20"/>
      <c r="O135" s="20"/>
    </row>
    <row r="136" spans="11:15">
      <c r="K136" s="20"/>
      <c r="L136" s="20"/>
      <c r="M136" s="20"/>
      <c r="N136" s="20"/>
      <c r="O136" s="20"/>
    </row>
    <row r="137" spans="11:15">
      <c r="K137" s="20"/>
      <c r="L137" s="20"/>
      <c r="M137" s="20"/>
      <c r="N137" s="20"/>
      <c r="O137" s="20"/>
    </row>
    <row r="138" spans="11:15">
      <c r="K138" s="20"/>
      <c r="L138" s="20"/>
      <c r="M138" s="20"/>
      <c r="N138" s="20"/>
      <c r="O138" s="20"/>
    </row>
    <row r="139" spans="11:15">
      <c r="K139" s="20"/>
      <c r="L139" s="20"/>
      <c r="M139" s="20"/>
      <c r="N139" s="20"/>
      <c r="O139" s="20"/>
    </row>
    <row r="140" spans="11:15">
      <c r="K140" s="20"/>
      <c r="L140" s="20"/>
      <c r="M140" s="20"/>
      <c r="N140" s="20"/>
      <c r="O140" s="20"/>
    </row>
    <row r="141" spans="11:15">
      <c r="K141" s="20"/>
      <c r="L141" s="20"/>
      <c r="M141" s="20"/>
      <c r="N141" s="20"/>
      <c r="O141" s="20"/>
    </row>
    <row r="142" spans="11:15">
      <c r="K142" s="20"/>
      <c r="L142" s="20"/>
      <c r="M142" s="20"/>
      <c r="N142" s="20"/>
      <c r="O142" s="20"/>
    </row>
    <row r="143" spans="11:15">
      <c r="K143" s="20"/>
      <c r="L143" s="20"/>
      <c r="M143" s="20"/>
      <c r="N143" s="20"/>
      <c r="O143" s="20"/>
    </row>
    <row r="144" spans="11:15">
      <c r="K144" s="20"/>
      <c r="L144" s="20"/>
      <c r="M144" s="20"/>
      <c r="N144" s="20"/>
      <c r="O144" s="20"/>
    </row>
    <row r="145" spans="11:15">
      <c r="K145" s="20"/>
      <c r="L145" s="20"/>
      <c r="M145" s="20"/>
      <c r="N145" s="20"/>
      <c r="O145" s="20"/>
    </row>
    <row r="146" spans="11:15">
      <c r="K146" s="20"/>
      <c r="L146" s="20"/>
      <c r="M146" s="20"/>
      <c r="N146" s="20"/>
      <c r="O146" s="20"/>
    </row>
    <row r="147" spans="11:15">
      <c r="K147" s="20"/>
      <c r="L147" s="20"/>
      <c r="M147" s="20"/>
      <c r="N147" s="20"/>
      <c r="O147" s="20"/>
    </row>
    <row r="148" spans="11:15">
      <c r="K148" s="20"/>
      <c r="L148" s="20"/>
      <c r="M148" s="20"/>
      <c r="N148" s="20"/>
      <c r="O148" s="20"/>
    </row>
    <row r="149" spans="11:15">
      <c r="K149" s="20"/>
      <c r="L149" s="20"/>
      <c r="M149" s="20"/>
      <c r="N149" s="20"/>
      <c r="O149" s="20"/>
    </row>
    <row r="150" spans="11:15">
      <c r="K150" s="20"/>
      <c r="L150" s="20"/>
      <c r="M150" s="20"/>
      <c r="N150" s="20"/>
      <c r="O150" s="20"/>
    </row>
    <row r="151" spans="11:15">
      <c r="K151" s="20"/>
      <c r="L151" s="20"/>
      <c r="M151" s="20"/>
      <c r="N151" s="20"/>
      <c r="O151" s="20"/>
    </row>
    <row r="152" spans="11:15">
      <c r="K152" s="20"/>
      <c r="L152" s="20"/>
      <c r="M152" s="20"/>
      <c r="N152" s="20"/>
      <c r="O152" s="20"/>
    </row>
    <row r="153" spans="11:15">
      <c r="K153" s="20"/>
      <c r="L153" s="20"/>
      <c r="M153" s="20"/>
      <c r="N153" s="20"/>
      <c r="O153" s="20"/>
    </row>
    <row r="154" spans="11:15">
      <c r="K154" s="20"/>
      <c r="L154" s="20"/>
      <c r="M154" s="20"/>
      <c r="N154" s="20"/>
      <c r="O154" s="20"/>
    </row>
    <row r="155" spans="11:15">
      <c r="K155" s="20"/>
      <c r="L155" s="20"/>
      <c r="M155" s="20"/>
      <c r="N155" s="20"/>
      <c r="O155" s="20"/>
    </row>
    <row r="156" spans="11:15">
      <c r="K156" s="20"/>
      <c r="L156" s="20"/>
      <c r="M156" s="20"/>
      <c r="N156" s="20"/>
      <c r="O156" s="20"/>
    </row>
    <row r="157" spans="11:15">
      <c r="K157" s="20"/>
      <c r="L157" s="20"/>
      <c r="M157" s="20"/>
      <c r="N157" s="20"/>
      <c r="O157" s="20"/>
    </row>
    <row r="158" spans="11:15">
      <c r="K158" s="20"/>
      <c r="L158" s="20"/>
      <c r="M158" s="20"/>
      <c r="N158" s="20"/>
      <c r="O158" s="20"/>
    </row>
    <row r="159" spans="11:15">
      <c r="K159" s="20"/>
      <c r="L159" s="20"/>
      <c r="M159" s="20"/>
      <c r="N159" s="20"/>
      <c r="O159" s="20"/>
    </row>
    <row r="160" spans="11:15">
      <c r="K160" s="20"/>
      <c r="L160" s="20"/>
      <c r="M160" s="20"/>
      <c r="N160" s="20"/>
      <c r="O160" s="20"/>
    </row>
    <row r="161" spans="11:15">
      <c r="K161" s="20"/>
      <c r="L161" s="20"/>
      <c r="M161" s="20"/>
      <c r="N161" s="20"/>
      <c r="O161" s="20"/>
    </row>
    <row r="162" spans="11:15">
      <c r="K162" s="20"/>
      <c r="L162" s="20"/>
      <c r="M162" s="20"/>
      <c r="N162" s="20"/>
      <c r="O162" s="20"/>
    </row>
    <row r="163" spans="11:15">
      <c r="K163" s="20"/>
      <c r="L163" s="20"/>
      <c r="M163" s="20"/>
      <c r="N163" s="20"/>
      <c r="O163" s="20"/>
    </row>
    <row r="164" spans="11:15">
      <c r="K164" s="20"/>
      <c r="L164" s="20"/>
      <c r="M164" s="20"/>
      <c r="N164" s="20"/>
      <c r="O164" s="20"/>
    </row>
    <row r="165" spans="11:15">
      <c r="K165" s="20"/>
      <c r="L165" s="20"/>
      <c r="M165" s="20"/>
      <c r="N165" s="20"/>
      <c r="O165" s="20"/>
    </row>
    <row r="166" spans="11:15">
      <c r="K166" s="20"/>
      <c r="L166" s="20"/>
      <c r="M166" s="20"/>
      <c r="N166" s="20"/>
      <c r="O166" s="20"/>
    </row>
    <row r="167" spans="11:15">
      <c r="K167" s="20"/>
      <c r="L167" s="20"/>
      <c r="M167" s="20"/>
      <c r="N167" s="20"/>
      <c r="O167" s="20"/>
    </row>
    <row r="168" spans="11:15">
      <c r="K168" s="20"/>
      <c r="L168" s="20"/>
      <c r="M168" s="20"/>
      <c r="N168" s="20"/>
      <c r="O168" s="20"/>
    </row>
    <row r="169" spans="11:15">
      <c r="K169" s="20"/>
      <c r="L169" s="20"/>
      <c r="M169" s="20"/>
      <c r="N169" s="20"/>
      <c r="O169" s="20"/>
    </row>
    <row r="170" spans="11:15">
      <c r="K170" s="20"/>
      <c r="L170" s="20"/>
      <c r="M170" s="20"/>
      <c r="N170" s="20"/>
      <c r="O170" s="20"/>
    </row>
    <row r="171" spans="11:15">
      <c r="K171" s="20"/>
      <c r="L171" s="20"/>
      <c r="M171" s="20"/>
      <c r="N171" s="20"/>
      <c r="O171" s="20"/>
    </row>
    <row r="172" spans="11:15">
      <c r="K172" s="20"/>
      <c r="L172" s="20"/>
      <c r="M172" s="20"/>
      <c r="N172" s="20"/>
      <c r="O172" s="20"/>
    </row>
    <row r="173" spans="11:15">
      <c r="K173" s="20"/>
      <c r="L173" s="20"/>
      <c r="M173" s="20"/>
      <c r="N173" s="20"/>
      <c r="O173" s="20"/>
    </row>
    <row r="174" spans="11:15">
      <c r="K174" s="20"/>
      <c r="L174" s="20"/>
      <c r="M174" s="20"/>
      <c r="N174" s="20"/>
      <c r="O174" s="20"/>
    </row>
    <row r="175" spans="11:15">
      <c r="K175" s="20"/>
      <c r="L175" s="20"/>
      <c r="M175" s="20"/>
      <c r="N175" s="20"/>
      <c r="O175" s="20"/>
    </row>
    <row r="176" spans="11:15">
      <c r="K176" s="20"/>
      <c r="L176" s="20"/>
      <c r="M176" s="20"/>
      <c r="N176" s="20"/>
      <c r="O176" s="20"/>
    </row>
    <row r="177" spans="11:15">
      <c r="K177" s="20"/>
      <c r="L177" s="20"/>
      <c r="M177" s="20"/>
      <c r="N177" s="20"/>
      <c r="O177" s="20"/>
    </row>
    <row r="178" spans="11:15">
      <c r="K178" s="20"/>
      <c r="L178" s="20"/>
      <c r="M178" s="20"/>
      <c r="N178" s="20"/>
      <c r="O178" s="20"/>
    </row>
    <row r="179" spans="11:15">
      <c r="K179" s="20"/>
      <c r="L179" s="20"/>
      <c r="M179" s="20"/>
      <c r="N179" s="20"/>
      <c r="O179" s="20"/>
    </row>
    <row r="180" spans="11:15">
      <c r="K180" s="20"/>
      <c r="L180" s="20"/>
      <c r="M180" s="20"/>
      <c r="N180" s="20"/>
      <c r="O180" s="20"/>
    </row>
    <row r="181" spans="11:15">
      <c r="K181" s="20"/>
      <c r="L181" s="20"/>
      <c r="M181" s="20"/>
      <c r="N181" s="20"/>
      <c r="O181" s="20"/>
    </row>
    <row r="182" spans="11:15">
      <c r="K182" s="20"/>
      <c r="L182" s="20"/>
      <c r="M182" s="20"/>
      <c r="N182" s="20"/>
      <c r="O182" s="20"/>
    </row>
    <row r="183" spans="11:15">
      <c r="K183" s="20"/>
      <c r="L183" s="20"/>
      <c r="M183" s="20"/>
      <c r="N183" s="20"/>
      <c r="O183" s="20"/>
    </row>
    <row r="184" spans="11:15">
      <c r="K184" s="20"/>
      <c r="L184" s="20"/>
      <c r="M184" s="20"/>
      <c r="N184" s="20"/>
      <c r="O184" s="20"/>
    </row>
    <row r="185" spans="11:15">
      <c r="K185" s="20"/>
      <c r="L185" s="20"/>
      <c r="M185" s="20"/>
      <c r="N185" s="20"/>
      <c r="O185" s="20"/>
    </row>
    <row r="186" spans="11:15">
      <c r="K186" s="20"/>
      <c r="L186" s="20"/>
      <c r="M186" s="20"/>
      <c r="N186" s="20"/>
      <c r="O186" s="20"/>
    </row>
    <row r="187" spans="11:15">
      <c r="K187" s="20"/>
      <c r="L187" s="20"/>
      <c r="M187" s="20"/>
      <c r="N187" s="20"/>
      <c r="O187" s="20"/>
    </row>
    <row r="188" spans="11:15">
      <c r="K188" s="20"/>
      <c r="L188" s="20"/>
      <c r="M188" s="20"/>
      <c r="N188" s="20"/>
      <c r="O188" s="20"/>
    </row>
    <row r="189" spans="11:15">
      <c r="K189" s="20"/>
      <c r="L189" s="20"/>
      <c r="M189" s="20"/>
      <c r="N189" s="20"/>
      <c r="O189" s="20"/>
    </row>
    <row r="190" spans="11:15">
      <c r="K190" s="20"/>
      <c r="L190" s="20"/>
      <c r="M190" s="20"/>
      <c r="N190" s="20"/>
      <c r="O190" s="20"/>
    </row>
    <row r="191" spans="11:15">
      <c r="K191" s="20"/>
      <c r="L191" s="20"/>
      <c r="M191" s="20"/>
      <c r="N191" s="20"/>
      <c r="O191" s="20"/>
    </row>
    <row r="192" spans="11:15">
      <c r="K192" s="20"/>
      <c r="L192" s="20"/>
      <c r="M192" s="20"/>
      <c r="N192" s="20"/>
      <c r="O192" s="20"/>
    </row>
    <row r="193" spans="11:15">
      <c r="K193" s="20"/>
      <c r="L193" s="20"/>
      <c r="M193" s="20"/>
      <c r="N193" s="20"/>
      <c r="O193" s="20"/>
    </row>
    <row r="194" spans="11:15">
      <c r="K194" s="20"/>
      <c r="L194" s="20"/>
      <c r="M194" s="20"/>
      <c r="N194" s="20"/>
      <c r="O194" s="20"/>
    </row>
    <row r="195" spans="11:15">
      <c r="K195" s="20"/>
      <c r="L195" s="20"/>
      <c r="M195" s="20"/>
      <c r="N195" s="20"/>
      <c r="O195" s="20"/>
    </row>
    <row r="196" spans="11:15">
      <c r="K196" s="20"/>
      <c r="L196" s="20"/>
      <c r="M196" s="20"/>
      <c r="N196" s="20"/>
      <c r="O196" s="20"/>
    </row>
    <row r="197" spans="11:15">
      <c r="K197" s="20"/>
      <c r="L197" s="20"/>
      <c r="M197" s="20"/>
      <c r="N197" s="20"/>
      <c r="O197" s="20"/>
    </row>
    <row r="198" spans="11:15">
      <c r="K198" s="20"/>
      <c r="L198" s="20"/>
      <c r="M198" s="20"/>
      <c r="N198" s="20"/>
      <c r="O198" s="20"/>
    </row>
    <row r="199" spans="11:15">
      <c r="K199" s="20"/>
      <c r="L199" s="20"/>
      <c r="M199" s="20"/>
      <c r="N199" s="20"/>
      <c r="O199" s="20"/>
    </row>
    <row r="200" spans="11:15">
      <c r="K200" s="20"/>
      <c r="L200" s="20"/>
      <c r="M200" s="20"/>
      <c r="N200" s="20"/>
      <c r="O200" s="20"/>
    </row>
    <row r="201" spans="11:15">
      <c r="K201" s="20"/>
      <c r="L201" s="20"/>
      <c r="M201" s="20"/>
      <c r="N201" s="20"/>
      <c r="O201" s="20"/>
    </row>
    <row r="202" spans="11:15">
      <c r="K202" s="20"/>
      <c r="L202" s="20"/>
      <c r="M202" s="20"/>
      <c r="N202" s="20"/>
      <c r="O202" s="20"/>
    </row>
    <row r="203" spans="11:15">
      <c r="K203" s="20"/>
      <c r="L203" s="20"/>
      <c r="M203" s="20"/>
      <c r="N203" s="20"/>
      <c r="O203" s="20"/>
    </row>
    <row r="204" spans="11:15">
      <c r="K204" s="20"/>
      <c r="L204" s="20"/>
      <c r="M204" s="20"/>
      <c r="N204" s="20"/>
      <c r="O204" s="20"/>
    </row>
    <row r="205" spans="11:15">
      <c r="K205" s="20"/>
      <c r="L205" s="20"/>
      <c r="M205" s="20"/>
      <c r="N205" s="20"/>
      <c r="O205" s="20"/>
    </row>
    <row r="206" spans="11:15">
      <c r="K206" s="20"/>
      <c r="L206" s="20"/>
      <c r="M206" s="20"/>
      <c r="N206" s="20"/>
      <c r="O206" s="20"/>
    </row>
    <row r="207" spans="11:15">
      <c r="K207" s="20"/>
      <c r="L207" s="20"/>
      <c r="M207" s="20"/>
      <c r="N207" s="20"/>
      <c r="O207" s="20"/>
    </row>
    <row r="208" spans="11:15">
      <c r="K208" s="20"/>
      <c r="L208" s="20"/>
      <c r="M208" s="20"/>
      <c r="N208" s="20"/>
      <c r="O208" s="20"/>
    </row>
    <row r="209" spans="11:15">
      <c r="K209" s="20"/>
      <c r="L209" s="20"/>
      <c r="M209" s="20"/>
      <c r="N209" s="20"/>
      <c r="O209" s="20"/>
    </row>
    <row r="210" spans="11:15">
      <c r="K210" s="20"/>
      <c r="L210" s="20"/>
      <c r="M210" s="20"/>
      <c r="N210" s="20"/>
      <c r="O210" s="20"/>
    </row>
    <row r="211" spans="11:15">
      <c r="K211" s="20"/>
      <c r="L211" s="20"/>
      <c r="M211" s="20"/>
      <c r="N211" s="20"/>
      <c r="O211" s="20"/>
    </row>
    <row r="212" spans="11:15">
      <c r="K212" s="20"/>
      <c r="L212" s="20"/>
      <c r="M212" s="20"/>
      <c r="N212" s="20"/>
      <c r="O212" s="20"/>
    </row>
    <row r="213" spans="11:15">
      <c r="K213" s="20"/>
      <c r="L213" s="20"/>
      <c r="M213" s="20"/>
      <c r="N213" s="20"/>
      <c r="O213" s="20"/>
    </row>
    <row r="214" spans="11:15">
      <c r="K214" s="20"/>
      <c r="L214" s="20"/>
      <c r="M214" s="20"/>
      <c r="N214" s="20"/>
      <c r="O214" s="20"/>
    </row>
    <row r="215" spans="11:15">
      <c r="K215" s="20"/>
      <c r="L215" s="20"/>
      <c r="M215" s="20"/>
      <c r="N215" s="20"/>
      <c r="O215" s="20"/>
    </row>
    <row r="216" spans="11:15">
      <c r="K216" s="20"/>
      <c r="L216" s="20"/>
      <c r="M216" s="20"/>
      <c r="N216" s="20"/>
      <c r="O216" s="20"/>
    </row>
    <row r="217" spans="11:15">
      <c r="K217" s="20"/>
      <c r="L217" s="20"/>
      <c r="M217" s="20"/>
      <c r="N217" s="20"/>
      <c r="O217" s="20"/>
    </row>
    <row r="218" spans="11:15">
      <c r="K218" s="20"/>
      <c r="L218" s="20"/>
      <c r="M218" s="20"/>
      <c r="N218" s="20"/>
      <c r="O218" s="20"/>
    </row>
    <row r="219" spans="11:15">
      <c r="K219" s="20"/>
      <c r="L219" s="20"/>
      <c r="M219" s="20"/>
      <c r="N219" s="20"/>
      <c r="O219" s="20"/>
    </row>
    <row r="220" spans="11:15">
      <c r="K220" s="20"/>
      <c r="L220" s="20"/>
      <c r="M220" s="20"/>
      <c r="N220" s="20"/>
      <c r="O220" s="20"/>
    </row>
    <row r="221" spans="11:15">
      <c r="K221" s="20"/>
      <c r="L221" s="20"/>
      <c r="M221" s="20"/>
      <c r="N221" s="20"/>
      <c r="O221" s="20"/>
    </row>
    <row r="222" spans="11:15">
      <c r="K222" s="20"/>
      <c r="L222" s="20"/>
      <c r="M222" s="20"/>
      <c r="N222" s="20"/>
      <c r="O222" s="20"/>
    </row>
    <row r="223" spans="11:15">
      <c r="K223" s="20"/>
      <c r="L223" s="20"/>
      <c r="M223" s="20"/>
      <c r="N223" s="20"/>
      <c r="O223" s="20"/>
    </row>
    <row r="224" spans="11:15">
      <c r="K224" s="20"/>
      <c r="L224" s="20"/>
      <c r="M224" s="20"/>
      <c r="N224" s="20"/>
      <c r="O224" s="20"/>
    </row>
    <row r="225" spans="11:15">
      <c r="K225" s="20"/>
      <c r="L225" s="20"/>
      <c r="M225" s="20"/>
      <c r="N225" s="20"/>
      <c r="O225" s="20"/>
    </row>
    <row r="226" spans="11:15">
      <c r="K226" s="20"/>
      <c r="L226" s="20"/>
      <c r="M226" s="20"/>
      <c r="N226" s="20"/>
      <c r="O226" s="20"/>
    </row>
    <row r="227" spans="11:15">
      <c r="K227" s="20"/>
      <c r="L227" s="20"/>
      <c r="M227" s="20"/>
      <c r="N227" s="20"/>
      <c r="O227" s="20"/>
    </row>
    <row r="228" spans="11:15">
      <c r="K228" s="20"/>
      <c r="L228" s="20"/>
      <c r="M228" s="20"/>
      <c r="N228" s="20"/>
      <c r="O228" s="20"/>
    </row>
    <row r="229" spans="11:15">
      <c r="K229" s="20"/>
      <c r="L229" s="20"/>
      <c r="M229" s="20"/>
      <c r="N229" s="20"/>
      <c r="O229" s="20"/>
    </row>
    <row r="230" spans="11:15">
      <c r="K230" s="20"/>
      <c r="L230" s="20"/>
      <c r="M230" s="20"/>
      <c r="N230" s="20"/>
      <c r="O230" s="20"/>
    </row>
    <row r="231" spans="11:15">
      <c r="K231" s="20"/>
      <c r="L231" s="20"/>
      <c r="M231" s="20"/>
      <c r="N231" s="20"/>
      <c r="O231" s="20"/>
    </row>
    <row r="232" spans="11:15">
      <c r="K232" s="20"/>
      <c r="L232" s="20"/>
      <c r="M232" s="20"/>
      <c r="N232" s="20"/>
      <c r="O232" s="20"/>
    </row>
    <row r="233" spans="11:15">
      <c r="K233" s="20"/>
      <c r="L233" s="20"/>
      <c r="M233" s="20"/>
      <c r="N233" s="20"/>
      <c r="O233" s="20"/>
    </row>
    <row r="234" spans="11:15">
      <c r="K234" s="20"/>
      <c r="L234" s="20"/>
      <c r="M234" s="20"/>
      <c r="N234" s="20"/>
      <c r="O234" s="20"/>
    </row>
    <row r="235" spans="11:15">
      <c r="K235" s="20"/>
      <c r="L235" s="20"/>
      <c r="M235" s="20"/>
      <c r="N235" s="20"/>
      <c r="O235" s="20"/>
    </row>
    <row r="236" spans="11:15">
      <c r="K236" s="20"/>
      <c r="L236" s="20"/>
      <c r="M236" s="20"/>
      <c r="N236" s="20"/>
      <c r="O236" s="20"/>
    </row>
    <row r="237" spans="11:15">
      <c r="K237" s="20"/>
      <c r="L237" s="20"/>
      <c r="M237" s="20"/>
      <c r="N237" s="20"/>
      <c r="O237" s="20"/>
    </row>
    <row r="238" spans="11:15">
      <c r="K238" s="20"/>
      <c r="L238" s="20"/>
      <c r="M238" s="20"/>
      <c r="N238" s="20"/>
      <c r="O238" s="20"/>
    </row>
    <row r="239" spans="11:15">
      <c r="K239" s="20"/>
      <c r="L239" s="20"/>
      <c r="M239" s="20"/>
      <c r="N239" s="20"/>
      <c r="O239" s="20"/>
    </row>
    <row r="240" spans="11:15">
      <c r="K240" s="20"/>
      <c r="L240" s="20"/>
      <c r="M240" s="20"/>
      <c r="N240" s="20"/>
      <c r="O240" s="20"/>
    </row>
    <row r="241" spans="11:15">
      <c r="K241" s="20"/>
      <c r="L241" s="20"/>
      <c r="M241" s="20"/>
      <c r="N241" s="20"/>
      <c r="O241" s="20"/>
    </row>
    <row r="242" spans="11:15">
      <c r="K242" s="20"/>
      <c r="L242" s="20"/>
      <c r="M242" s="20"/>
      <c r="N242" s="20"/>
      <c r="O242" s="20"/>
    </row>
    <row r="243" spans="11:15">
      <c r="K243" s="20"/>
      <c r="L243" s="20"/>
      <c r="M243" s="20"/>
      <c r="N243" s="20"/>
      <c r="O243" s="20"/>
    </row>
    <row r="244" spans="11:15">
      <c r="K244" s="20"/>
      <c r="L244" s="20"/>
      <c r="M244" s="20"/>
      <c r="N244" s="20"/>
      <c r="O244" s="20"/>
    </row>
    <row r="245" spans="11:15">
      <c r="K245" s="20"/>
      <c r="L245" s="20"/>
      <c r="M245" s="20"/>
      <c r="N245" s="20"/>
      <c r="O245" s="20"/>
    </row>
    <row r="246" spans="11:15">
      <c r="K246" s="20"/>
      <c r="L246" s="20"/>
      <c r="M246" s="20"/>
      <c r="N246" s="20"/>
      <c r="O246" s="20"/>
    </row>
    <row r="247" spans="11:15">
      <c r="K247" s="20"/>
      <c r="L247" s="20"/>
      <c r="M247" s="20"/>
      <c r="N247" s="20"/>
      <c r="O247" s="20"/>
    </row>
    <row r="248" spans="11:15">
      <c r="K248" s="20"/>
      <c r="L248" s="20"/>
      <c r="M248" s="20"/>
      <c r="N248" s="20"/>
      <c r="O248" s="20"/>
    </row>
    <row r="249" spans="11:15">
      <c r="K249" s="20"/>
      <c r="L249" s="20"/>
      <c r="M249" s="20"/>
      <c r="N249" s="20"/>
      <c r="O249" s="20"/>
    </row>
    <row r="250" spans="11:15">
      <c r="K250" s="20"/>
      <c r="L250" s="20"/>
      <c r="M250" s="20"/>
      <c r="N250" s="20"/>
      <c r="O250" s="20"/>
    </row>
    <row r="251" spans="11:15">
      <c r="K251" s="20"/>
      <c r="L251" s="20"/>
      <c r="M251" s="20"/>
      <c r="N251" s="20"/>
      <c r="O251" s="20"/>
    </row>
    <row r="252" spans="11:15">
      <c r="K252" s="20"/>
      <c r="L252" s="20"/>
      <c r="M252" s="20"/>
      <c r="N252" s="20"/>
      <c r="O252" s="20"/>
    </row>
    <row r="253" spans="11:15">
      <c r="K253" s="20"/>
      <c r="L253" s="20"/>
      <c r="M253" s="20"/>
      <c r="N253" s="20"/>
      <c r="O253" s="20"/>
    </row>
    <row r="254" spans="11:15">
      <c r="K254" s="20"/>
      <c r="L254" s="20"/>
      <c r="M254" s="20"/>
      <c r="N254" s="20"/>
      <c r="O254" s="20"/>
    </row>
    <row r="255" spans="11:15">
      <c r="K255" s="20"/>
      <c r="L255" s="20"/>
      <c r="M255" s="20"/>
      <c r="N255" s="20"/>
      <c r="O255" s="20"/>
    </row>
    <row r="256" spans="11:15">
      <c r="K256" s="20"/>
      <c r="L256" s="20"/>
      <c r="M256" s="20"/>
      <c r="N256" s="20"/>
      <c r="O256" s="20"/>
    </row>
    <row r="257" spans="11:15">
      <c r="K257" s="20"/>
      <c r="L257" s="20"/>
      <c r="M257" s="20"/>
      <c r="N257" s="20"/>
      <c r="O257" s="20"/>
    </row>
    <row r="258" spans="11:15">
      <c r="K258" s="20"/>
      <c r="L258" s="20"/>
      <c r="M258" s="20"/>
      <c r="N258" s="20"/>
      <c r="O258" s="20"/>
    </row>
    <row r="259" spans="11:15">
      <c r="K259" s="20"/>
      <c r="L259" s="20"/>
      <c r="M259" s="20"/>
      <c r="N259" s="20"/>
      <c r="O259" s="20"/>
    </row>
    <row r="260" spans="11:15">
      <c r="K260" s="20"/>
      <c r="L260" s="20"/>
      <c r="M260" s="20"/>
      <c r="N260" s="20"/>
      <c r="O260" s="20"/>
    </row>
    <row r="261" spans="11:15">
      <c r="K261" s="20"/>
      <c r="L261" s="20"/>
      <c r="M261" s="20"/>
      <c r="N261" s="20"/>
      <c r="O261" s="20"/>
    </row>
    <row r="262" spans="11:15">
      <c r="K262" s="20"/>
      <c r="L262" s="20"/>
      <c r="M262" s="20"/>
      <c r="N262" s="20"/>
      <c r="O262" s="20"/>
    </row>
    <row r="263" spans="11:15">
      <c r="K263" s="20"/>
      <c r="L263" s="20"/>
      <c r="M263" s="20"/>
      <c r="N263" s="20"/>
      <c r="O263" s="20"/>
    </row>
    <row r="264" spans="11:15">
      <c r="K264" s="20"/>
      <c r="L264" s="20"/>
      <c r="M264" s="20"/>
      <c r="N264" s="20"/>
      <c r="O264" s="20"/>
    </row>
    <row r="265" spans="11:15">
      <c r="K265" s="20"/>
      <c r="L265" s="20"/>
      <c r="M265" s="20"/>
      <c r="N265" s="20"/>
      <c r="O265" s="20"/>
    </row>
    <row r="266" spans="11:15">
      <c r="K266" s="20"/>
      <c r="L266" s="20"/>
      <c r="M266" s="20"/>
      <c r="N266" s="20"/>
      <c r="O266" s="20"/>
    </row>
    <row r="267" spans="11:15">
      <c r="K267" s="20"/>
      <c r="L267" s="20"/>
      <c r="M267" s="20"/>
      <c r="N267" s="20"/>
      <c r="O267" s="20"/>
    </row>
    <row r="268" spans="11:15">
      <c r="K268" s="20"/>
      <c r="L268" s="20"/>
      <c r="M268" s="20"/>
      <c r="N268" s="20"/>
      <c r="O268" s="20"/>
    </row>
    <row r="269" spans="11:15">
      <c r="K269" s="20"/>
      <c r="L269" s="20"/>
      <c r="M269" s="20"/>
      <c r="N269" s="20"/>
      <c r="O269" s="20"/>
    </row>
    <row r="270" spans="11:15">
      <c r="K270" s="20"/>
      <c r="L270" s="20"/>
      <c r="M270" s="20"/>
      <c r="N270" s="20"/>
      <c r="O270" s="20"/>
    </row>
    <row r="271" spans="11:15">
      <c r="K271" s="20"/>
      <c r="L271" s="20"/>
      <c r="M271" s="20"/>
      <c r="N271" s="20"/>
      <c r="O271" s="20"/>
    </row>
    <row r="272" spans="11:15">
      <c r="K272" s="20"/>
      <c r="L272" s="20"/>
      <c r="M272" s="20"/>
      <c r="N272" s="20"/>
      <c r="O272" s="20"/>
    </row>
    <row r="273" spans="11:15">
      <c r="K273" s="20"/>
      <c r="L273" s="20"/>
      <c r="M273" s="20"/>
      <c r="N273" s="20"/>
      <c r="O273" s="20"/>
    </row>
    <row r="274" spans="11:15">
      <c r="K274" s="20"/>
      <c r="L274" s="20"/>
      <c r="M274" s="20"/>
      <c r="N274" s="20"/>
      <c r="O274" s="20"/>
    </row>
    <row r="275" spans="11:15">
      <c r="K275" s="20"/>
      <c r="L275" s="20"/>
      <c r="M275" s="20"/>
      <c r="N275" s="20"/>
      <c r="O275" s="20"/>
    </row>
    <row r="276" spans="11:15">
      <c r="K276" s="20"/>
      <c r="L276" s="20"/>
      <c r="M276" s="20"/>
      <c r="N276" s="20"/>
      <c r="O276" s="20"/>
    </row>
    <row r="277" spans="11:15">
      <c r="K277" s="20"/>
      <c r="L277" s="20"/>
      <c r="M277" s="20"/>
      <c r="N277" s="20"/>
      <c r="O277" s="20"/>
    </row>
    <row r="278" spans="11:15">
      <c r="K278" s="20"/>
      <c r="L278" s="20"/>
      <c r="M278" s="20"/>
      <c r="N278" s="20"/>
      <c r="O278" s="20"/>
    </row>
    <row r="279" spans="11:15">
      <c r="K279" s="20"/>
      <c r="L279" s="20"/>
      <c r="M279" s="20"/>
      <c r="N279" s="20"/>
      <c r="O279" s="20"/>
    </row>
    <row r="280" spans="11:15">
      <c r="K280" s="20"/>
      <c r="L280" s="20"/>
      <c r="M280" s="20"/>
      <c r="N280" s="20"/>
      <c r="O280" s="20"/>
    </row>
    <row r="281" spans="11:15">
      <c r="N281" s="45"/>
    </row>
    <row r="282" spans="11:15">
      <c r="N282" s="45"/>
    </row>
    <row r="283" spans="11:15">
      <c r="N283" s="45"/>
    </row>
    <row r="284" spans="11:15">
      <c r="N284" s="45"/>
    </row>
    <row r="285" spans="11:15">
      <c r="N285" s="45"/>
    </row>
    <row r="286" spans="11:15">
      <c r="N286" s="45"/>
    </row>
    <row r="287" spans="11:15">
      <c r="N287" s="45"/>
    </row>
    <row r="288" spans="11:15">
      <c r="N288" s="45"/>
    </row>
    <row r="289" spans="14:14">
      <c r="N289" s="45"/>
    </row>
    <row r="290" spans="14:14">
      <c r="N290" s="45"/>
    </row>
    <row r="291" spans="14:14">
      <c r="N291" s="45"/>
    </row>
    <row r="292" spans="14:14">
      <c r="N292" s="45"/>
    </row>
    <row r="293" spans="14:14">
      <c r="N293" s="45"/>
    </row>
    <row r="294" spans="14:14">
      <c r="N294" s="45"/>
    </row>
    <row r="295" spans="14:14">
      <c r="N295" s="45"/>
    </row>
    <row r="296" spans="14:14">
      <c r="N296" s="45"/>
    </row>
    <row r="297" spans="14:14">
      <c r="N297" s="45"/>
    </row>
    <row r="298" spans="14:14">
      <c r="N298" s="45"/>
    </row>
    <row r="299" spans="14:14">
      <c r="N299" s="45"/>
    </row>
    <row r="300" spans="14:14">
      <c r="N300" s="45"/>
    </row>
    <row r="301" spans="14:14">
      <c r="N301" s="45"/>
    </row>
    <row r="302" spans="14:14">
      <c r="N302" s="45"/>
    </row>
    <row r="303" spans="14:14">
      <c r="N303" s="45"/>
    </row>
    <row r="304" spans="14:14">
      <c r="N304" s="45"/>
    </row>
    <row r="305" spans="14:14">
      <c r="N305" s="45"/>
    </row>
    <row r="306" spans="14:14">
      <c r="N306" s="45"/>
    </row>
    <row r="307" spans="14:14">
      <c r="N307" s="45"/>
    </row>
    <row r="308" spans="14:14">
      <c r="N308" s="45"/>
    </row>
    <row r="341" ht="15.75" thickBot="1"/>
    <row r="342" ht="15.75" thickBot="1"/>
  </sheetData>
  <dataConsolidate/>
  <mergeCells count="6">
    <mergeCell ref="P16:R16"/>
    <mergeCell ref="B44:I44"/>
    <mergeCell ref="E6:L7"/>
    <mergeCell ref="K11:O11"/>
    <mergeCell ref="C20:H20"/>
    <mergeCell ref="D11:H11"/>
  </mergeCells>
  <conditionalFormatting pivot="1" sqref="N13:N17">
    <cfRule type="dataBar" priority="1">
      <dataBar>
        <cfvo type="min"/>
        <cfvo type="max"/>
        <color rgb="FF63C384"/>
      </dataBar>
      <extLst>
        <ext xmlns:x14="http://schemas.microsoft.com/office/spreadsheetml/2009/9/main" uri="{B025F937-C7B1-47D3-B67F-A62EFF666E3E}">
          <x14:id>{C94D7537-D8EE-4F61-B3E3-EFA1EA1EE1F4}</x14:id>
        </ext>
      </extLst>
    </cfRule>
  </conditionalFormatting>
  <pageMargins left="0.7" right="0.7" top="0.75" bottom="0.75" header="0.3" footer="0.3"/>
  <pageSetup orientation="portrait" r:id="rId6"/>
  <drawing r:id="rId7"/>
  <tableParts count="2">
    <tablePart r:id="rId8"/>
    <tablePart r:id="rId9"/>
  </tableParts>
  <extLst>
    <ext xmlns:x14="http://schemas.microsoft.com/office/spreadsheetml/2009/9/main" uri="{78C0D931-6437-407d-A8EE-F0AAD7539E65}">
      <x14:conditionalFormattings>
        <x14:conditionalFormatting xmlns:xm="http://schemas.microsoft.com/office/excel/2006/main" pivot="1">
          <x14:cfRule type="dataBar" id="{C94D7537-D8EE-4F61-B3E3-EFA1EA1EE1F4}">
            <x14:dataBar minLength="0" maxLength="100" gradient="0">
              <x14:cfvo type="autoMin"/>
              <x14:cfvo type="autoMax"/>
              <x14:negativeFillColor rgb="FFFF0000"/>
              <x14:axisColor rgb="FF000000"/>
            </x14:dataBar>
          </x14:cfRule>
          <xm:sqref>N13:N17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1CE7-9922-4641-8607-89985CAC9317}">
  <sheetPr codeName="Sheet8">
    <tabColor rgb="FF00B0F0"/>
  </sheetPr>
  <dimension ref="C1:X37"/>
  <sheetViews>
    <sheetView zoomScaleNormal="100" workbookViewId="0">
      <selection activeCell="Q4" sqref="Q4"/>
    </sheetView>
  </sheetViews>
  <sheetFormatPr defaultRowHeight="15"/>
  <cols>
    <col min="1" max="1" width="4.28515625" customWidth="1"/>
    <col min="2" max="2" width="7.42578125" customWidth="1"/>
    <col min="3" max="3" width="6" customWidth="1"/>
    <col min="4" max="4" width="20.28515625" customWidth="1"/>
    <col min="5" max="5" width="21.85546875" customWidth="1"/>
    <col min="6" max="6" width="33" customWidth="1"/>
    <col min="7" max="7" width="23.28515625" customWidth="1"/>
    <col min="8" max="8" width="11.7109375" customWidth="1"/>
    <col min="9" max="9" width="27" customWidth="1"/>
    <col min="10" max="10" width="11" customWidth="1"/>
    <col min="13" max="13" width="6.42578125" customWidth="1"/>
    <col min="14" max="14" width="22.140625" bestFit="1" customWidth="1"/>
    <col min="15" max="15" width="16.28515625" bestFit="1" customWidth="1"/>
    <col min="16" max="18" width="12.28515625" bestFit="1" customWidth="1"/>
    <col min="19" max="19" width="12" bestFit="1" customWidth="1"/>
    <col min="20" max="20" width="12.28515625" bestFit="1" customWidth="1"/>
    <col min="21" max="22" width="12" bestFit="1" customWidth="1"/>
    <col min="23" max="23" width="13.85546875" bestFit="1" customWidth="1"/>
    <col min="24" max="24" width="12" bestFit="1" customWidth="1"/>
    <col min="25" max="25" width="18.5703125" bestFit="1" customWidth="1"/>
    <col min="26" max="26" width="17" bestFit="1" customWidth="1"/>
    <col min="27" max="27" width="23.5703125" bestFit="1" customWidth="1"/>
    <col min="28" max="28" width="22.42578125" bestFit="1" customWidth="1"/>
    <col min="29" max="29" width="18.5703125" bestFit="1" customWidth="1"/>
    <col min="30" max="30" width="17" bestFit="1" customWidth="1"/>
    <col min="31" max="31" width="22.42578125" bestFit="1" customWidth="1"/>
    <col min="32" max="32" width="18.5703125" bestFit="1" customWidth="1"/>
    <col min="33" max="33" width="17" bestFit="1" customWidth="1"/>
    <col min="34" max="34" width="17.7109375" bestFit="1" customWidth="1"/>
    <col min="35" max="37" width="6" bestFit="1" customWidth="1"/>
    <col min="38" max="38" width="7" bestFit="1" customWidth="1"/>
    <col min="39" max="40" width="6" bestFit="1" customWidth="1"/>
    <col min="41" max="41" width="7" bestFit="1" customWidth="1"/>
    <col min="42" max="54" width="6" bestFit="1" customWidth="1"/>
    <col min="55" max="55" width="7" bestFit="1" customWidth="1"/>
    <col min="56" max="60" width="6" bestFit="1" customWidth="1"/>
    <col min="61" max="61" width="7" bestFit="1" customWidth="1"/>
    <col min="62" max="62" width="6" bestFit="1" customWidth="1"/>
    <col min="63" max="63" width="7" bestFit="1" customWidth="1"/>
    <col min="64" max="69" width="6" bestFit="1" customWidth="1"/>
    <col min="70" max="70" width="7" bestFit="1" customWidth="1"/>
    <col min="71" max="72" width="6" bestFit="1" customWidth="1"/>
    <col min="73" max="73" width="7" bestFit="1" customWidth="1"/>
    <col min="74" max="74" width="6" bestFit="1" customWidth="1"/>
    <col min="75" max="75" width="7" bestFit="1" customWidth="1"/>
    <col min="76" max="80" width="6" bestFit="1" customWidth="1"/>
    <col min="81" max="81" width="7" bestFit="1" customWidth="1"/>
    <col min="82" max="82" width="6" bestFit="1" customWidth="1"/>
    <col min="83" max="84" width="7" bestFit="1" customWidth="1"/>
    <col min="85" max="85" width="6" bestFit="1" customWidth="1"/>
    <col min="86" max="86" width="7" bestFit="1" customWidth="1"/>
    <col min="87" max="87" width="6" bestFit="1" customWidth="1"/>
    <col min="88" max="88" width="7" bestFit="1" customWidth="1"/>
    <col min="89" max="92" width="6" bestFit="1" customWidth="1"/>
    <col min="93" max="93" width="7" bestFit="1" customWidth="1"/>
    <col min="94" max="95" width="6" bestFit="1" customWidth="1"/>
    <col min="96" max="96" width="7" bestFit="1" customWidth="1"/>
    <col min="97" max="99" width="6" bestFit="1" customWidth="1"/>
    <col min="100" max="100" width="7" bestFit="1" customWidth="1"/>
    <col min="101" max="108" width="6" bestFit="1" customWidth="1"/>
    <col min="109" max="109" width="7" bestFit="1" customWidth="1"/>
    <col min="110" max="113" width="6" bestFit="1" customWidth="1"/>
    <col min="114" max="114" width="7" bestFit="1" customWidth="1"/>
    <col min="115" max="115" width="6" bestFit="1" customWidth="1"/>
    <col min="116" max="116" width="7" bestFit="1" customWidth="1"/>
    <col min="117" max="120" width="6" bestFit="1" customWidth="1"/>
    <col min="121" max="121" width="7" bestFit="1" customWidth="1"/>
    <col min="122" max="123" width="6" bestFit="1" customWidth="1"/>
    <col min="124" max="124" width="7" bestFit="1" customWidth="1"/>
    <col min="125" max="126" width="6" bestFit="1" customWidth="1"/>
    <col min="127" max="127" width="7" bestFit="1" customWidth="1"/>
    <col min="128" max="128" width="6" bestFit="1" customWidth="1"/>
    <col min="129" max="130" width="7" bestFit="1" customWidth="1"/>
    <col min="131" max="132" width="6" bestFit="1" customWidth="1"/>
    <col min="133" max="133" width="7" bestFit="1" customWidth="1"/>
    <col min="134" max="134" width="6" bestFit="1" customWidth="1"/>
    <col min="135" max="135" width="7" bestFit="1" customWidth="1"/>
    <col min="136" max="150" width="6" bestFit="1" customWidth="1"/>
    <col min="151" max="151" width="7" bestFit="1" customWidth="1"/>
    <col min="152" max="153" width="6" bestFit="1" customWidth="1"/>
    <col min="154" max="155" width="7" bestFit="1" customWidth="1"/>
    <col min="156" max="156" width="6" bestFit="1" customWidth="1"/>
    <col min="157" max="157" width="7" bestFit="1" customWidth="1"/>
    <col min="158" max="158" width="6" bestFit="1" customWidth="1"/>
    <col min="159" max="159" width="7" bestFit="1" customWidth="1"/>
    <col min="160" max="160" width="6" bestFit="1" customWidth="1"/>
    <col min="161" max="161" width="7" bestFit="1" customWidth="1"/>
    <col min="162" max="164" width="6" bestFit="1" customWidth="1"/>
    <col min="165" max="165" width="7" bestFit="1" customWidth="1"/>
    <col min="166" max="166" width="6" bestFit="1" customWidth="1"/>
    <col min="167" max="167" width="7" bestFit="1" customWidth="1"/>
    <col min="168" max="179" width="6" bestFit="1" customWidth="1"/>
    <col min="180" max="180" width="17.42578125" bestFit="1" customWidth="1"/>
    <col min="181" max="186" width="4" bestFit="1" customWidth="1"/>
    <col min="187" max="187" width="5" bestFit="1" customWidth="1"/>
    <col min="188" max="188" width="4" bestFit="1" customWidth="1"/>
    <col min="189" max="189" width="3" bestFit="1" customWidth="1"/>
    <col min="190" max="237" width="4" bestFit="1" customWidth="1"/>
    <col min="238" max="238" width="5" bestFit="1" customWidth="1"/>
    <col min="239" max="273" width="4" bestFit="1" customWidth="1"/>
    <col min="274" max="274" width="5" bestFit="1" customWidth="1"/>
    <col min="275" max="293" width="4" bestFit="1" customWidth="1"/>
    <col min="294" max="294" width="5" bestFit="1" customWidth="1"/>
    <col min="295" max="344" width="4" bestFit="1" customWidth="1"/>
    <col min="345" max="345" width="13.5703125" bestFit="1" customWidth="1"/>
    <col min="346" max="354" width="4" bestFit="1" customWidth="1"/>
    <col min="355" max="355" width="5" bestFit="1" customWidth="1"/>
    <col min="356" max="367" width="4" bestFit="1" customWidth="1"/>
    <col min="368" max="368" width="5" bestFit="1" customWidth="1"/>
    <col min="369" max="384" width="4" bestFit="1" customWidth="1"/>
    <col min="385" max="385" width="5" bestFit="1" customWidth="1"/>
    <col min="386" max="402" width="4" bestFit="1" customWidth="1"/>
    <col min="403" max="403" width="5" bestFit="1" customWidth="1"/>
    <col min="404" max="404" width="4" bestFit="1" customWidth="1"/>
    <col min="405" max="405" width="5" bestFit="1" customWidth="1"/>
    <col min="406" max="412" width="4" bestFit="1" customWidth="1"/>
    <col min="413" max="413" width="5" bestFit="1" customWidth="1"/>
    <col min="414" max="415" width="4" bestFit="1" customWidth="1"/>
    <col min="416" max="416" width="5" bestFit="1" customWidth="1"/>
    <col min="417" max="417" width="4" bestFit="1" customWidth="1"/>
    <col min="418" max="418" width="5" bestFit="1" customWidth="1"/>
    <col min="419" max="422" width="4" bestFit="1" customWidth="1"/>
    <col min="423" max="423" width="5" bestFit="1" customWidth="1"/>
    <col min="424" max="438" width="4" bestFit="1" customWidth="1"/>
    <col min="439" max="439" width="5" bestFit="1" customWidth="1"/>
    <col min="440" max="445" width="4" bestFit="1" customWidth="1"/>
    <col min="446" max="446" width="5" bestFit="1" customWidth="1"/>
    <col min="447" max="450" width="4" bestFit="1" customWidth="1"/>
    <col min="451" max="451" width="5" bestFit="1" customWidth="1"/>
    <col min="452" max="458" width="4" bestFit="1" customWidth="1"/>
    <col min="459" max="460" width="5" bestFit="1" customWidth="1"/>
    <col min="461" max="462" width="4" bestFit="1" customWidth="1"/>
    <col min="463" max="463" width="5" bestFit="1" customWidth="1"/>
    <col min="464" max="464" width="4" bestFit="1" customWidth="1"/>
    <col min="465" max="465" width="5" bestFit="1" customWidth="1"/>
    <col min="466" max="480" width="4" bestFit="1" customWidth="1"/>
    <col min="481" max="481" width="5" bestFit="1" customWidth="1"/>
    <col min="482" max="483" width="4" bestFit="1" customWidth="1"/>
    <col min="484" max="485" width="5" bestFit="1" customWidth="1"/>
    <col min="486" max="486" width="4" bestFit="1" customWidth="1"/>
    <col min="487" max="487" width="5" bestFit="1" customWidth="1"/>
    <col min="488" max="490" width="4" bestFit="1" customWidth="1"/>
    <col min="491" max="491" width="5" bestFit="1" customWidth="1"/>
    <col min="492" max="509" width="4" bestFit="1" customWidth="1"/>
    <col min="510" max="510" width="12" bestFit="1" customWidth="1"/>
    <col min="511" max="519" width="5" bestFit="1" customWidth="1"/>
    <col min="520" max="520" width="6" bestFit="1" customWidth="1"/>
    <col min="521" max="549" width="5" bestFit="1" customWidth="1"/>
    <col min="550" max="550" width="6" bestFit="1" customWidth="1"/>
    <col min="551" max="567" width="5" bestFit="1" customWidth="1"/>
    <col min="568" max="568" width="6" bestFit="1" customWidth="1"/>
    <col min="569" max="582" width="5" bestFit="1" customWidth="1"/>
    <col min="583" max="583" width="6" bestFit="1" customWidth="1"/>
    <col min="584" max="603" width="5" bestFit="1" customWidth="1"/>
    <col min="604" max="604" width="6" bestFit="1" customWidth="1"/>
    <col min="605" max="610" width="5" bestFit="1" customWidth="1"/>
    <col min="611" max="611" width="6" bestFit="1" customWidth="1"/>
    <col min="612" max="624" width="5" bestFit="1" customWidth="1"/>
    <col min="625" max="625" width="6" bestFit="1" customWidth="1"/>
    <col min="626" max="645" width="5" bestFit="1" customWidth="1"/>
    <col min="646" max="646" width="6" bestFit="1" customWidth="1"/>
    <col min="647" max="648" width="5" bestFit="1" customWidth="1"/>
    <col min="649" max="649" width="6" bestFit="1" customWidth="1"/>
    <col min="650" max="651" width="5" bestFit="1" customWidth="1"/>
    <col min="652" max="652" width="6" bestFit="1" customWidth="1"/>
    <col min="653" max="655" width="5" bestFit="1" customWidth="1"/>
    <col min="656" max="656" width="6" bestFit="1" customWidth="1"/>
    <col min="657" max="674" width="5" bestFit="1" customWidth="1"/>
    <col min="675" max="675" width="23.5703125" bestFit="1" customWidth="1"/>
    <col min="676" max="676" width="22.42578125" bestFit="1" customWidth="1"/>
    <col min="677" max="677" width="18.5703125" bestFit="1" customWidth="1"/>
    <col min="678" max="678" width="17" bestFit="1" customWidth="1"/>
  </cols>
  <sheetData>
    <row r="1" spans="3:24" ht="15.75" thickBot="1"/>
    <row r="2" spans="3:24" ht="27">
      <c r="C2" s="152" t="s">
        <v>407</v>
      </c>
      <c r="D2" s="153"/>
      <c r="E2" s="153"/>
      <c r="F2" s="153"/>
      <c r="G2" s="153"/>
      <c r="H2" s="153"/>
      <c r="I2" s="153"/>
      <c r="J2" s="153"/>
      <c r="K2" s="153"/>
      <c r="L2" s="154"/>
      <c r="N2" s="155" t="s">
        <v>414</v>
      </c>
      <c r="O2" s="156"/>
      <c r="P2" s="156"/>
      <c r="Q2" s="156"/>
      <c r="R2" s="156"/>
      <c r="S2" s="156"/>
      <c r="T2" s="156"/>
      <c r="U2" s="156"/>
      <c r="V2" s="156"/>
      <c r="W2" s="156"/>
      <c r="X2" s="157"/>
    </row>
    <row r="3" spans="3:24" ht="15.75" thickBot="1">
      <c r="C3" s="19"/>
      <c r="D3" s="36"/>
      <c r="E3" s="20"/>
      <c r="F3" s="20"/>
      <c r="G3" s="20"/>
      <c r="H3" s="20"/>
      <c r="I3" s="20"/>
      <c r="J3" s="20"/>
      <c r="K3" s="20"/>
      <c r="L3" s="21"/>
      <c r="N3" s="19"/>
      <c r="O3" s="20"/>
      <c r="P3" s="20"/>
      <c r="Q3" s="20"/>
      <c r="R3" s="20"/>
      <c r="S3" s="20"/>
      <c r="T3" s="20"/>
      <c r="U3" s="20"/>
      <c r="V3" s="20"/>
      <c r="W3" s="20"/>
      <c r="X3" s="21"/>
    </row>
    <row r="4" spans="3:24" ht="15.75" thickBot="1">
      <c r="C4" s="19"/>
      <c r="D4" s="36"/>
      <c r="E4" s="20"/>
      <c r="F4" s="20"/>
      <c r="G4" s="20"/>
      <c r="H4" s="20"/>
      <c r="I4" s="20"/>
      <c r="J4" s="20"/>
      <c r="K4" s="20"/>
      <c r="L4" s="21"/>
      <c r="N4" s="52" t="s">
        <v>413</v>
      </c>
      <c r="O4" s="52" t="s">
        <v>412</v>
      </c>
      <c r="P4" s="64"/>
      <c r="Q4" s="71"/>
      <c r="R4" s="65"/>
      <c r="S4" s="20"/>
      <c r="T4" s="20"/>
      <c r="U4" s="20"/>
      <c r="V4" s="20"/>
      <c r="W4" s="20"/>
      <c r="X4" s="21"/>
    </row>
    <row r="5" spans="3:24" ht="15.75" thickBot="1">
      <c r="C5" s="19"/>
      <c r="D5" s="20"/>
      <c r="E5" s="20"/>
      <c r="F5" s="20"/>
      <c r="G5" s="20"/>
      <c r="H5" s="20"/>
      <c r="I5" s="20"/>
      <c r="J5" s="20"/>
      <c r="K5" s="20"/>
      <c r="L5" s="21"/>
      <c r="N5" s="52" t="s">
        <v>359</v>
      </c>
      <c r="O5" s="64" t="s">
        <v>52</v>
      </c>
      <c r="P5" s="71" t="s">
        <v>23</v>
      </c>
      <c r="Q5" s="65" t="s">
        <v>14</v>
      </c>
      <c r="R5" s="55" t="s">
        <v>360</v>
      </c>
      <c r="S5" s="20"/>
      <c r="T5" s="20"/>
      <c r="U5" s="20"/>
      <c r="V5" s="20"/>
      <c r="W5" s="20"/>
      <c r="X5" s="21"/>
    </row>
    <row r="6" spans="3:24">
      <c r="C6" s="19"/>
      <c r="D6" s="83" t="s">
        <v>408</v>
      </c>
      <c r="E6" s="83" t="s">
        <v>409</v>
      </c>
      <c r="F6" s="84" t="s">
        <v>410</v>
      </c>
      <c r="G6" s="20"/>
      <c r="H6" s="20"/>
      <c r="I6" s="20"/>
      <c r="J6" s="20"/>
      <c r="K6" s="20"/>
      <c r="L6" s="21"/>
      <c r="N6" s="60" t="s">
        <v>13</v>
      </c>
      <c r="O6" s="56"/>
      <c r="P6" s="70">
        <v>37626.34782608696</v>
      </c>
      <c r="Q6" s="70">
        <v>40728.530303030304</v>
      </c>
      <c r="R6" s="57">
        <v>39926.84269662921</v>
      </c>
      <c r="S6" s="20"/>
      <c r="T6" s="20"/>
      <c r="U6" s="20"/>
      <c r="V6" s="20"/>
      <c r="W6" s="20"/>
      <c r="X6" s="21"/>
    </row>
    <row r="7" spans="3:24">
      <c r="C7" s="19"/>
      <c r="D7" s="36" t="s">
        <v>37</v>
      </c>
      <c r="E7" s="36">
        <f>COUNTIF(Table1__3[[Hashtags Used.1]:[Hashtags Used.2]],D7)</f>
        <v>143</v>
      </c>
      <c r="F7" s="84" cm="1">
        <f t="array" ref="F7">AVERAGE(_xlfn._xlws.FILTER(Posts!O:O,(Posts!L:L=Table9[[#This Row],[All Hastags ]])+(Posts!M:M=Table9[[#This Row],[All Hastags ]])))</f>
        <v>9.8567431094720506E-2</v>
      </c>
      <c r="G7" s="20"/>
      <c r="H7" s="20"/>
      <c r="I7" s="20"/>
      <c r="J7" s="20"/>
      <c r="K7" s="20"/>
      <c r="L7" s="21"/>
      <c r="N7" s="61" t="s">
        <v>22</v>
      </c>
      <c r="O7" s="58"/>
      <c r="P7" s="36">
        <v>42215.747126436785</v>
      </c>
      <c r="Q7" s="36">
        <v>40429.163934426229</v>
      </c>
      <c r="R7" s="47">
        <v>41479.385135135133</v>
      </c>
      <c r="S7" s="20"/>
      <c r="T7" s="20"/>
      <c r="U7" s="20"/>
      <c r="V7" s="20"/>
      <c r="W7" s="20"/>
      <c r="X7" s="21"/>
    </row>
    <row r="8" spans="3:24" ht="15.75" thickBot="1">
      <c r="C8" s="19"/>
      <c r="D8" s="36" t="s">
        <v>19</v>
      </c>
      <c r="E8" s="36">
        <f>COUNTIF(Table1__3[[Hashtags Used.1]:[Hashtags Used.2]],D8)</f>
        <v>130</v>
      </c>
      <c r="F8" s="84" cm="1">
        <f t="array" ref="F8">AVERAGE(_xlfn._xlws.FILTER(Posts!O:O,(Posts!L:L=Table9[[#This Row],[All Hastags ]])+(Posts!M:M=Table9[[#This Row],[All Hastags ]])))</f>
        <v>8.760663345122878E-2</v>
      </c>
      <c r="G8" s="20"/>
      <c r="H8" s="20"/>
      <c r="I8" s="20"/>
      <c r="J8" s="20"/>
      <c r="K8" s="20"/>
      <c r="L8" s="21"/>
      <c r="N8" s="62" t="s">
        <v>28</v>
      </c>
      <c r="O8" s="58">
        <v>42546.65517241379</v>
      </c>
      <c r="P8" s="36"/>
      <c r="Q8" s="36">
        <v>45415.911764705881</v>
      </c>
      <c r="R8" s="47">
        <v>44095.142857142855</v>
      </c>
      <c r="S8" s="20"/>
      <c r="T8" s="20"/>
      <c r="U8" s="20"/>
      <c r="V8" s="20"/>
      <c r="W8" s="20"/>
      <c r="X8" s="21"/>
    </row>
    <row r="9" spans="3:24" ht="15.75" thickBot="1">
      <c r="C9" s="19"/>
      <c r="D9" s="36" t="s">
        <v>40</v>
      </c>
      <c r="E9" s="36">
        <f>COUNTIF(Table1__3[[Hashtags Used.1]:[Hashtags Used.2]],D9)</f>
        <v>109</v>
      </c>
      <c r="F9" s="84" cm="1">
        <f t="array" ref="F9">AVERAGE(_xlfn._xlws.FILTER(Posts!O:O,(Posts!L:L=Table9[[#This Row],[All Hastags ]])+(Posts!M:M=Table9[[#This Row],[All Hastags ]])))</f>
        <v>9.4448669905002544E-2</v>
      </c>
      <c r="G9" s="20"/>
      <c r="H9" s="20"/>
      <c r="I9" s="20"/>
      <c r="J9" s="20"/>
      <c r="K9" s="20"/>
      <c r="L9" s="21"/>
      <c r="N9" s="63" t="s">
        <v>360</v>
      </c>
      <c r="O9" s="59">
        <v>42546.65517241379</v>
      </c>
      <c r="P9" s="40">
        <v>41256.145454545454</v>
      </c>
      <c r="Q9" s="40">
        <v>41604.987577639753</v>
      </c>
      <c r="R9" s="48">
        <v>41568.106666666667</v>
      </c>
      <c r="S9" s="20"/>
      <c r="T9" s="20"/>
      <c r="U9" s="20"/>
      <c r="V9" s="20"/>
      <c r="W9" s="20"/>
      <c r="X9" s="21"/>
    </row>
    <row r="10" spans="3:24">
      <c r="C10" s="19"/>
      <c r="D10" s="36" t="s">
        <v>363</v>
      </c>
      <c r="E10" s="36">
        <f>COUNTIF(Table1__3[[Hashtags Used.1]:[Hashtags Used.2]],D10)</f>
        <v>67</v>
      </c>
      <c r="F10" s="84" cm="1">
        <f t="array" ref="F10">AVERAGE(_xlfn._xlws.FILTER(Posts!O:O,(Posts!L:L=Table9[[#This Row],[All Hastags ]])+(Posts!M:M=Table9[[#This Row],[All Hastags ]])))</f>
        <v>8.9057449367429237E-2</v>
      </c>
      <c r="G10" s="20"/>
      <c r="H10" s="20"/>
      <c r="I10" s="20"/>
      <c r="J10" s="20"/>
      <c r="K10" s="20"/>
      <c r="L10" s="21"/>
      <c r="N10" s="19"/>
      <c r="O10" s="20"/>
      <c r="P10" s="20"/>
      <c r="Q10" s="20"/>
      <c r="R10" s="20"/>
      <c r="S10" s="20"/>
      <c r="T10" s="20"/>
      <c r="U10" s="20"/>
      <c r="V10" s="20"/>
      <c r="W10" s="20"/>
      <c r="X10" s="21"/>
    </row>
    <row r="11" spans="3:24">
      <c r="C11" s="19"/>
      <c r="D11" s="36" t="s">
        <v>364</v>
      </c>
      <c r="E11" s="36">
        <f>COUNTIF(Table1__3[[Hashtags Used.1]:[Hashtags Used.2]],D11)</f>
        <v>34</v>
      </c>
      <c r="F11" s="84" cm="1">
        <f t="array" ref="F11">AVERAGE(_xlfn._xlws.FILTER(Posts!O:O,(Posts!L:L=Table9[[#This Row],[All Hastags ]])+(Posts!M:M=Table9[[#This Row],[All Hastags ]])))</f>
        <v>8.640329129367573E-2</v>
      </c>
      <c r="G11" s="20"/>
      <c r="H11" s="85"/>
      <c r="I11" s="20"/>
      <c r="J11" s="20"/>
      <c r="K11" s="20"/>
      <c r="L11" s="21"/>
      <c r="N11" s="19"/>
      <c r="O11" s="20"/>
      <c r="P11" s="20"/>
      <c r="Q11" s="20"/>
      <c r="R11" s="20"/>
      <c r="S11" s="20"/>
      <c r="T11" s="20"/>
      <c r="U11" s="20"/>
      <c r="V11" s="20"/>
      <c r="W11" s="20"/>
      <c r="X11" s="21"/>
    </row>
    <row r="12" spans="3:24">
      <c r="C12" s="19"/>
      <c r="D12" s="20"/>
      <c r="E12" s="20"/>
      <c r="F12" s="20"/>
      <c r="G12" s="20"/>
      <c r="H12" s="20"/>
      <c r="I12" s="20"/>
      <c r="J12" s="20"/>
      <c r="K12" s="20"/>
      <c r="L12" s="21"/>
      <c r="N12" s="19"/>
      <c r="O12" s="20"/>
      <c r="P12" s="20"/>
      <c r="Q12" s="20"/>
      <c r="R12" s="20"/>
      <c r="S12" s="20"/>
      <c r="T12" s="20"/>
      <c r="U12" s="20"/>
      <c r="V12" s="20"/>
      <c r="W12" s="20"/>
      <c r="X12" s="21"/>
    </row>
    <row r="13" spans="3:24">
      <c r="C13" s="19"/>
      <c r="D13" s="20"/>
      <c r="E13" s="20"/>
      <c r="F13" s="20"/>
      <c r="G13" s="20"/>
      <c r="H13" s="20"/>
      <c r="I13" s="20"/>
      <c r="J13" s="20"/>
      <c r="K13" s="20"/>
      <c r="L13" s="21"/>
      <c r="N13" s="19"/>
      <c r="O13" s="20"/>
      <c r="P13" s="20"/>
      <c r="Q13" s="20"/>
      <c r="R13" s="20"/>
      <c r="S13" s="20"/>
      <c r="T13" s="20"/>
      <c r="U13" s="20"/>
      <c r="V13" s="20"/>
      <c r="W13" s="20"/>
      <c r="X13" s="21"/>
    </row>
    <row r="14" spans="3:24">
      <c r="C14" s="19"/>
      <c r="D14" s="86" t="s">
        <v>411</v>
      </c>
      <c r="E14" s="87" t="str">
        <f>INDEX(Table9[[All Hastags ]],MATCH(MAX(Table9['# Usage Count]),Table9['# Usage Count],0))</f>
        <v>#NowPlaying</v>
      </c>
      <c r="F14" s="20"/>
      <c r="G14" s="20"/>
      <c r="H14" s="20"/>
      <c r="I14" s="20"/>
      <c r="J14" s="20"/>
      <c r="K14" s="20"/>
      <c r="L14" s="21"/>
      <c r="N14" s="19"/>
      <c r="O14" s="20"/>
      <c r="P14" s="20"/>
      <c r="Q14" s="20"/>
      <c r="R14" s="20"/>
      <c r="S14" s="20"/>
      <c r="T14" s="20"/>
      <c r="U14" s="20"/>
      <c r="V14" s="20"/>
      <c r="W14" s="20"/>
      <c r="X14" s="21"/>
    </row>
    <row r="15" spans="3:24">
      <c r="C15" s="19"/>
      <c r="D15" s="20"/>
      <c r="E15" s="20"/>
      <c r="F15" s="20"/>
      <c r="G15" s="20"/>
      <c r="H15" s="20"/>
      <c r="I15" s="20"/>
      <c r="J15" s="20"/>
      <c r="K15" s="20"/>
      <c r="L15" s="21"/>
      <c r="N15" s="19"/>
      <c r="O15" s="20"/>
      <c r="P15" s="20"/>
      <c r="Q15" s="20"/>
      <c r="R15" s="20"/>
      <c r="S15" s="20"/>
      <c r="T15" s="20"/>
      <c r="U15" s="20"/>
      <c r="V15" s="20"/>
      <c r="W15" s="20"/>
      <c r="X15" s="21"/>
    </row>
    <row r="16" spans="3:24">
      <c r="C16" s="19"/>
      <c r="D16" s="20"/>
      <c r="E16" s="20"/>
      <c r="F16" s="20"/>
      <c r="G16" s="20"/>
      <c r="H16" s="20"/>
      <c r="I16" s="20"/>
      <c r="J16" s="20"/>
      <c r="K16" s="20"/>
      <c r="L16" s="21"/>
      <c r="N16" s="19"/>
      <c r="O16" s="20"/>
      <c r="P16" s="20"/>
      <c r="Q16" s="20"/>
      <c r="R16" s="20"/>
      <c r="S16" s="20"/>
      <c r="T16" s="20"/>
      <c r="U16" s="20"/>
      <c r="V16" s="20"/>
      <c r="W16" s="20"/>
      <c r="X16" s="21"/>
    </row>
    <row r="17" spans="3:24">
      <c r="C17" s="19"/>
      <c r="D17" s="20"/>
      <c r="E17" s="20"/>
      <c r="F17" s="20"/>
      <c r="G17" s="20"/>
      <c r="H17" s="20"/>
      <c r="I17" s="20"/>
      <c r="J17" s="20"/>
      <c r="K17" s="20"/>
      <c r="L17" s="21"/>
      <c r="N17" s="19"/>
      <c r="O17" s="20"/>
      <c r="P17" s="20"/>
      <c r="Q17" s="20"/>
      <c r="R17" s="20"/>
      <c r="S17" s="20"/>
      <c r="T17" s="20"/>
      <c r="U17" s="20"/>
      <c r="V17" s="20"/>
      <c r="W17" s="20"/>
      <c r="X17" s="21"/>
    </row>
    <row r="18" spans="3:24" ht="15.75" thickBot="1">
      <c r="C18" s="19"/>
      <c r="D18" s="20"/>
      <c r="E18" s="20"/>
      <c r="F18" s="20"/>
      <c r="G18" s="20"/>
      <c r="H18" s="20"/>
      <c r="I18" s="20"/>
      <c r="J18" s="20"/>
      <c r="K18" s="20"/>
      <c r="L18" s="21"/>
      <c r="N18" s="24"/>
      <c r="O18" s="25"/>
      <c r="P18" s="25"/>
      <c r="Q18" s="25"/>
      <c r="R18" s="25"/>
      <c r="S18" s="25"/>
      <c r="T18" s="25"/>
      <c r="U18" s="25"/>
      <c r="V18" s="25"/>
      <c r="W18" s="25"/>
      <c r="X18" s="26"/>
    </row>
    <row r="19" spans="3:24">
      <c r="C19" s="19"/>
      <c r="D19" s="20"/>
      <c r="E19" s="20"/>
      <c r="F19" s="20"/>
      <c r="G19" s="20"/>
      <c r="H19" s="20"/>
      <c r="I19" s="20"/>
      <c r="J19" s="20"/>
      <c r="K19" s="20"/>
      <c r="L19" s="21"/>
    </row>
    <row r="20" spans="3:24">
      <c r="C20" s="19"/>
      <c r="D20" s="20"/>
      <c r="E20" s="20"/>
      <c r="F20" s="20"/>
      <c r="G20" s="20"/>
      <c r="H20" s="20"/>
      <c r="I20" s="20"/>
      <c r="J20" s="20"/>
      <c r="K20" s="20"/>
      <c r="L20" s="21"/>
    </row>
    <row r="21" spans="3:24" ht="15.75" thickBot="1">
      <c r="C21" s="19"/>
      <c r="D21" s="20"/>
      <c r="E21" s="20"/>
      <c r="F21" s="20"/>
      <c r="G21" s="20"/>
      <c r="H21" s="20"/>
      <c r="I21" s="20"/>
      <c r="J21" s="20"/>
      <c r="K21" s="20"/>
      <c r="L21" s="21"/>
    </row>
    <row r="22" spans="3:24" ht="30">
      <c r="C22" s="19"/>
      <c r="D22" s="20"/>
      <c r="E22" s="20"/>
      <c r="F22" s="20"/>
      <c r="G22" s="20"/>
      <c r="H22" s="20"/>
      <c r="I22" s="20"/>
      <c r="J22" s="20"/>
      <c r="K22" s="20"/>
      <c r="L22" s="21"/>
      <c r="N22" s="158" t="s">
        <v>415</v>
      </c>
      <c r="O22" s="159"/>
      <c r="P22" s="159"/>
      <c r="Q22" s="159"/>
      <c r="R22" s="159"/>
      <c r="S22" s="159"/>
      <c r="T22" s="159"/>
      <c r="U22" s="159"/>
      <c r="V22" s="159"/>
      <c r="W22" s="159"/>
      <c r="X22" s="160"/>
    </row>
    <row r="23" spans="3:24">
      <c r="C23" s="19"/>
      <c r="D23" s="20"/>
      <c r="E23" s="20"/>
      <c r="F23" s="20"/>
      <c r="G23" s="20"/>
      <c r="H23" s="20"/>
      <c r="I23" s="20"/>
      <c r="J23" s="20"/>
      <c r="K23" s="20"/>
      <c r="L23" s="21"/>
      <c r="N23" s="19"/>
      <c r="O23" s="20"/>
      <c r="P23" s="20"/>
      <c r="Q23" s="20"/>
      <c r="R23" s="20"/>
      <c r="S23" s="20"/>
      <c r="T23" s="20"/>
      <c r="U23" s="20"/>
      <c r="V23" s="20"/>
      <c r="W23" s="20"/>
      <c r="X23" s="21"/>
    </row>
    <row r="24" spans="3:24">
      <c r="C24" s="19"/>
      <c r="D24" s="20"/>
      <c r="E24" s="20"/>
      <c r="F24" s="20"/>
      <c r="G24" s="20"/>
      <c r="H24" s="20"/>
      <c r="I24" s="20"/>
      <c r="J24" s="20"/>
      <c r="K24" s="20"/>
      <c r="L24" s="21"/>
      <c r="N24" s="19"/>
      <c r="O24" s="20"/>
      <c r="P24" s="20"/>
      <c r="Q24" s="20"/>
      <c r="R24" s="20"/>
      <c r="S24" s="20"/>
      <c r="T24" s="20"/>
      <c r="U24" s="20"/>
      <c r="V24" s="20"/>
      <c r="W24" s="20"/>
      <c r="X24" s="21"/>
    </row>
    <row r="25" spans="3:24">
      <c r="C25" s="19"/>
      <c r="D25" s="20"/>
      <c r="E25" s="20"/>
      <c r="F25" s="20"/>
      <c r="G25" s="20"/>
      <c r="H25" s="20"/>
      <c r="I25" s="20"/>
      <c r="J25" s="20"/>
      <c r="K25" s="20"/>
      <c r="L25" s="21"/>
      <c r="N25" s="19"/>
      <c r="O25" s="20"/>
      <c r="P25" s="20"/>
      <c r="Q25" s="20"/>
      <c r="R25" s="20"/>
      <c r="S25" s="20"/>
      <c r="T25" s="20"/>
      <c r="U25" s="20"/>
      <c r="V25" s="20"/>
      <c r="W25" s="20"/>
      <c r="X25" s="21"/>
    </row>
    <row r="26" spans="3:24">
      <c r="C26" s="19"/>
      <c r="D26" s="20"/>
      <c r="E26" s="20"/>
      <c r="F26" s="20"/>
      <c r="G26" s="20"/>
      <c r="H26" s="20"/>
      <c r="I26" s="20"/>
      <c r="J26" s="20"/>
      <c r="K26" s="20"/>
      <c r="L26" s="21"/>
      <c r="N26" s="19"/>
      <c r="O26" s="20"/>
      <c r="P26" s="20"/>
      <c r="Q26" s="20"/>
      <c r="R26" s="20"/>
      <c r="S26" s="20"/>
      <c r="T26" s="20"/>
      <c r="U26" s="20"/>
      <c r="V26" s="20"/>
      <c r="W26" s="20"/>
      <c r="X26" s="21"/>
    </row>
    <row r="27" spans="3:24">
      <c r="C27" s="19"/>
      <c r="D27" s="20"/>
      <c r="E27" s="20"/>
      <c r="F27" s="20"/>
      <c r="G27" s="20"/>
      <c r="H27" s="20"/>
      <c r="I27" s="20"/>
      <c r="J27" s="20"/>
      <c r="K27" s="20"/>
      <c r="L27" s="21"/>
      <c r="N27" s="19"/>
      <c r="O27" s="20"/>
      <c r="P27" s="20"/>
      <c r="Q27" s="20"/>
      <c r="R27" s="20"/>
      <c r="S27" s="20"/>
      <c r="T27" s="20"/>
      <c r="U27" s="20"/>
      <c r="V27" s="20"/>
      <c r="W27" s="20"/>
      <c r="X27" s="21"/>
    </row>
    <row r="28" spans="3:24">
      <c r="C28" s="19"/>
      <c r="D28" s="20"/>
      <c r="E28" s="20"/>
      <c r="F28" s="20"/>
      <c r="G28" s="20"/>
      <c r="H28" s="20"/>
      <c r="I28" s="20"/>
      <c r="J28" s="20"/>
      <c r="K28" s="20"/>
      <c r="L28" s="21"/>
      <c r="N28" s="19"/>
      <c r="O28" s="20"/>
      <c r="P28" s="20"/>
      <c r="Q28" s="20"/>
      <c r="R28" s="20"/>
      <c r="S28" s="20"/>
      <c r="T28" s="20"/>
      <c r="U28" s="20"/>
      <c r="V28" s="20"/>
      <c r="W28" s="20"/>
      <c r="X28" s="21"/>
    </row>
    <row r="29" spans="3:24">
      <c r="C29" s="19"/>
      <c r="D29" s="20"/>
      <c r="E29" s="20"/>
      <c r="F29" s="20"/>
      <c r="G29" s="20"/>
      <c r="H29" s="20"/>
      <c r="I29" s="20"/>
      <c r="J29" s="20"/>
      <c r="K29" s="20"/>
      <c r="L29" s="21"/>
      <c r="N29" s="19"/>
      <c r="O29" s="20"/>
      <c r="P29" s="20"/>
      <c r="Q29" s="20"/>
      <c r="R29" s="20"/>
      <c r="S29" s="20"/>
      <c r="T29" s="20"/>
      <c r="U29" s="20"/>
      <c r="V29" s="20"/>
      <c r="W29" s="20"/>
      <c r="X29" s="21"/>
    </row>
    <row r="30" spans="3:24">
      <c r="C30" s="19"/>
      <c r="D30" s="20"/>
      <c r="E30" s="20"/>
      <c r="F30" s="20"/>
      <c r="G30" s="20"/>
      <c r="H30" s="20"/>
      <c r="I30" s="20"/>
      <c r="J30" s="20"/>
      <c r="K30" s="20"/>
      <c r="L30" s="21"/>
      <c r="N30" s="19"/>
      <c r="O30" s="20"/>
      <c r="P30" s="20"/>
      <c r="Q30" s="20"/>
      <c r="R30" s="20"/>
      <c r="S30" s="20"/>
      <c r="T30" s="20"/>
      <c r="U30" s="20"/>
      <c r="V30" s="20"/>
      <c r="W30" s="20"/>
      <c r="X30" s="21"/>
    </row>
    <row r="31" spans="3:24" ht="15.75" thickBot="1">
      <c r="C31" s="24"/>
      <c r="D31" s="25"/>
      <c r="E31" s="25"/>
      <c r="F31" s="25"/>
      <c r="G31" s="25"/>
      <c r="H31" s="25"/>
      <c r="I31" s="25"/>
      <c r="J31" s="25"/>
      <c r="K31" s="25"/>
      <c r="L31" s="26"/>
      <c r="N31" s="19"/>
      <c r="O31" s="20"/>
      <c r="P31" s="20"/>
      <c r="Q31" s="20"/>
      <c r="R31" s="20"/>
      <c r="S31" s="20"/>
      <c r="T31" s="20"/>
      <c r="U31" s="20"/>
      <c r="V31" s="20"/>
      <c r="W31" s="20"/>
      <c r="X31" s="21"/>
    </row>
    <row r="32" spans="3:24">
      <c r="N32" s="19"/>
      <c r="O32" s="20"/>
      <c r="P32" s="20"/>
      <c r="Q32" s="20"/>
      <c r="R32" s="20"/>
      <c r="S32" s="20"/>
      <c r="T32" s="20"/>
      <c r="U32" s="20"/>
      <c r="V32" s="20"/>
      <c r="W32" s="20"/>
      <c r="X32" s="21"/>
    </row>
    <row r="33" spans="14:24">
      <c r="N33" s="19"/>
      <c r="O33" s="20"/>
      <c r="P33" s="20"/>
      <c r="Q33" s="20"/>
      <c r="R33" s="20"/>
      <c r="S33" s="20"/>
      <c r="T33" s="20"/>
      <c r="U33" s="20"/>
      <c r="V33" s="20"/>
      <c r="W33" s="20"/>
      <c r="X33" s="21"/>
    </row>
    <row r="34" spans="14:24">
      <c r="N34" s="19"/>
      <c r="O34" s="20"/>
      <c r="P34" s="20"/>
      <c r="Q34" s="20"/>
      <c r="R34" s="20"/>
      <c r="S34" s="20"/>
      <c r="T34" s="20"/>
      <c r="U34" s="20"/>
      <c r="V34" s="20"/>
      <c r="W34" s="20"/>
      <c r="X34" s="21"/>
    </row>
    <row r="35" spans="14:24">
      <c r="N35" s="19"/>
      <c r="O35" s="20"/>
      <c r="P35" s="20"/>
      <c r="Q35" s="20"/>
      <c r="R35" s="20"/>
      <c r="S35" s="20"/>
      <c r="T35" s="20"/>
      <c r="U35" s="20"/>
      <c r="V35" s="20"/>
      <c r="W35" s="20"/>
      <c r="X35" s="21"/>
    </row>
    <row r="36" spans="14:24">
      <c r="N36" s="19"/>
      <c r="O36" s="20"/>
      <c r="P36" s="20"/>
      <c r="Q36" s="20"/>
      <c r="R36" s="20"/>
      <c r="S36" s="20"/>
      <c r="T36" s="20"/>
      <c r="U36" s="20"/>
      <c r="V36" s="20"/>
      <c r="W36" s="20"/>
      <c r="X36" s="21"/>
    </row>
    <row r="37" spans="14:24" ht="15.75" thickBot="1">
      <c r="N37" s="24"/>
      <c r="O37" s="25"/>
      <c r="P37" s="25"/>
      <c r="Q37" s="25"/>
      <c r="R37" s="25"/>
      <c r="S37" s="25"/>
      <c r="T37" s="25"/>
      <c r="U37" s="25"/>
      <c r="V37" s="25"/>
      <c r="W37" s="25"/>
      <c r="X37" s="26"/>
    </row>
  </sheetData>
  <mergeCells count="3">
    <mergeCell ref="C2:L2"/>
    <mergeCell ref="N2:X2"/>
    <mergeCell ref="N22:X22"/>
  </mergeCells>
  <phoneticPr fontId="25" type="noConversion"/>
  <conditionalFormatting sqref="D3">
    <cfRule type="expression" dxfId="64" priority="5">
      <formula>MOD(ROW(),2)=0</formula>
    </cfRule>
  </conditionalFormatting>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D78E-0CE0-4374-BBCD-8FACED726645}">
  <sheetPr codeName="Sheet9">
    <tabColor rgb="FFFF0000"/>
  </sheetPr>
  <dimension ref="D4:AE85"/>
  <sheetViews>
    <sheetView topLeftCell="A22" zoomScale="80" zoomScaleNormal="80" workbookViewId="0">
      <selection activeCell="F48" sqref="F48"/>
    </sheetView>
  </sheetViews>
  <sheetFormatPr defaultRowHeight="15"/>
  <cols>
    <col min="1" max="1" width="4.42578125" customWidth="1"/>
    <col min="2" max="2" width="16.28515625" customWidth="1"/>
    <col min="3" max="3" width="4.42578125" customWidth="1"/>
    <col min="4" max="4" width="39.28515625" customWidth="1"/>
    <col min="5" max="5" width="14.85546875" bestFit="1" customWidth="1"/>
    <col min="6" max="6" width="24.85546875" bestFit="1" customWidth="1"/>
    <col min="7" max="7" width="17" bestFit="1" customWidth="1"/>
    <col min="8" max="8" width="11.28515625" bestFit="1" customWidth="1"/>
    <col min="9" max="9" width="13.5703125" bestFit="1" customWidth="1"/>
    <col min="10" max="10" width="23.85546875" bestFit="1" customWidth="1"/>
    <col min="11" max="11" width="19" bestFit="1" customWidth="1"/>
    <col min="12" max="12" width="13.5703125" bestFit="1" customWidth="1"/>
    <col min="13" max="13" width="23.85546875" bestFit="1" customWidth="1"/>
    <col min="14" max="14" width="13.42578125" bestFit="1" customWidth="1"/>
    <col min="15" max="15" width="14.85546875" bestFit="1" customWidth="1"/>
    <col min="16" max="16" width="24.28515625" bestFit="1" customWidth="1"/>
    <col min="17" max="17" width="34.42578125" bestFit="1" customWidth="1"/>
    <col min="18" max="18" width="30.85546875" bestFit="1" customWidth="1"/>
  </cols>
  <sheetData>
    <row r="4" spans="5:13" ht="15.75" thickBot="1"/>
    <row r="5" spans="5:13" ht="27">
      <c r="E5" s="161" t="s">
        <v>446</v>
      </c>
      <c r="F5" s="162"/>
      <c r="G5" s="162"/>
      <c r="H5" s="162"/>
      <c r="I5" s="162"/>
      <c r="J5" s="162"/>
      <c r="K5" s="162"/>
      <c r="L5" s="162"/>
      <c r="M5" s="163"/>
    </row>
    <row r="6" spans="5:13" ht="15.75" thickBot="1">
      <c r="E6" s="19"/>
      <c r="F6" s="20"/>
      <c r="G6" s="20"/>
      <c r="H6" s="20"/>
      <c r="I6" s="20"/>
      <c r="J6" s="20"/>
      <c r="K6" s="20"/>
      <c r="L6" s="20"/>
      <c r="M6" s="21"/>
    </row>
    <row r="7" spans="5:13" ht="15.75" thickBot="1">
      <c r="E7" s="19"/>
      <c r="F7" s="52" t="s">
        <v>359</v>
      </c>
      <c r="G7" s="64" t="s">
        <v>416</v>
      </c>
      <c r="H7" s="71" t="s">
        <v>417</v>
      </c>
      <c r="I7" s="71" t="s">
        <v>413</v>
      </c>
      <c r="J7" s="71" t="s">
        <v>389</v>
      </c>
      <c r="K7" s="71" t="s">
        <v>369</v>
      </c>
      <c r="L7" s="65" t="s">
        <v>370</v>
      </c>
      <c r="M7" s="21"/>
    </row>
    <row r="8" spans="5:13">
      <c r="E8" s="19"/>
      <c r="F8" s="118" t="s">
        <v>16</v>
      </c>
      <c r="G8" s="113">
        <v>3058.6623376623374</v>
      </c>
      <c r="H8" s="114">
        <v>186.41558441558442</v>
      </c>
      <c r="I8" s="114">
        <v>41116.025974025972</v>
      </c>
      <c r="J8" s="115">
        <v>471034</v>
      </c>
      <c r="K8" s="115">
        <v>28708</v>
      </c>
      <c r="L8" s="116">
        <v>6331868</v>
      </c>
      <c r="M8" s="21"/>
    </row>
    <row r="9" spans="5:13">
      <c r="E9" s="19"/>
      <c r="F9" s="119" t="s">
        <v>20</v>
      </c>
      <c r="G9" s="117">
        <v>2919.7340425531916</v>
      </c>
      <c r="H9" s="89">
        <v>199.11702127659575</v>
      </c>
      <c r="I9" s="89">
        <v>42971.329787234041</v>
      </c>
      <c r="J9" s="90">
        <v>274455</v>
      </c>
      <c r="K9" s="90">
        <v>18717</v>
      </c>
      <c r="L9" s="112">
        <v>4039305</v>
      </c>
      <c r="M9" s="21"/>
    </row>
    <row r="10" spans="5:13">
      <c r="E10" s="19"/>
      <c r="F10" s="119" t="s">
        <v>53</v>
      </c>
      <c r="G10" s="117">
        <v>3099</v>
      </c>
      <c r="H10" s="89">
        <v>191.62068965517241</v>
      </c>
      <c r="I10" s="89">
        <v>42546.65517241379</v>
      </c>
      <c r="J10" s="90">
        <v>89871</v>
      </c>
      <c r="K10" s="90">
        <v>5557</v>
      </c>
      <c r="L10" s="112">
        <v>1233853</v>
      </c>
      <c r="M10" s="21"/>
    </row>
    <row r="11" spans="5:13" ht="15.75" thickBot="1">
      <c r="E11" s="19"/>
      <c r="F11" s="120" t="s">
        <v>50</v>
      </c>
      <c r="G11" s="117">
        <v>2687.608695652174</v>
      </c>
      <c r="H11" s="89">
        <v>200.60869565217391</v>
      </c>
      <c r="I11" s="89">
        <v>37626.34782608696</v>
      </c>
      <c r="J11" s="90">
        <v>61815</v>
      </c>
      <c r="K11" s="90">
        <v>4614</v>
      </c>
      <c r="L11" s="112">
        <v>865406</v>
      </c>
      <c r="M11" s="21"/>
    </row>
    <row r="12" spans="5:13" ht="15.75" thickBot="1">
      <c r="E12" s="19"/>
      <c r="F12" s="63" t="s">
        <v>360</v>
      </c>
      <c r="G12" s="59">
        <v>2990.5833333333335</v>
      </c>
      <c r="H12" s="40">
        <v>191.98666666666668</v>
      </c>
      <c r="I12" s="40">
        <v>41568.106666666667</v>
      </c>
      <c r="J12" s="40">
        <v>897175</v>
      </c>
      <c r="K12" s="40">
        <v>57596</v>
      </c>
      <c r="L12" s="48">
        <v>12470432</v>
      </c>
      <c r="M12" s="21"/>
    </row>
    <row r="13" spans="5:13" ht="15.75" thickBot="1">
      <c r="E13" s="24"/>
      <c r="F13" s="25"/>
      <c r="G13" s="25"/>
      <c r="H13" s="25"/>
      <c r="I13" s="25"/>
      <c r="J13" s="25"/>
      <c r="K13" s="25"/>
      <c r="L13" s="25"/>
      <c r="M13" s="26"/>
    </row>
    <row r="17" spans="4:16" ht="15.75" thickBot="1"/>
    <row r="18" spans="4:16">
      <c r="D18" s="164" t="s">
        <v>445</v>
      </c>
      <c r="E18" s="159"/>
      <c r="F18" s="159"/>
      <c r="G18" s="159"/>
      <c r="H18" s="159"/>
      <c r="I18" s="159"/>
      <c r="J18" s="159"/>
      <c r="K18" s="159"/>
      <c r="L18" s="159"/>
      <c r="M18" s="159"/>
      <c r="N18" s="159"/>
      <c r="O18" s="159"/>
      <c r="P18" s="160"/>
    </row>
    <row r="19" spans="4:16">
      <c r="D19" s="165"/>
      <c r="E19" s="139"/>
      <c r="F19" s="139"/>
      <c r="G19" s="139"/>
      <c r="H19" s="139"/>
      <c r="I19" s="139"/>
      <c r="J19" s="139"/>
      <c r="K19" s="139"/>
      <c r="L19" s="139"/>
      <c r="M19" s="139"/>
      <c r="N19" s="139"/>
      <c r="O19" s="139"/>
      <c r="P19" s="166"/>
    </row>
    <row r="20" spans="4:16">
      <c r="D20" s="19"/>
      <c r="E20" s="20"/>
      <c r="F20" s="20"/>
      <c r="G20" s="20"/>
      <c r="H20" s="20"/>
      <c r="I20" s="20"/>
      <c r="J20" s="20"/>
      <c r="K20" s="20"/>
      <c r="L20" s="20"/>
      <c r="M20" s="20"/>
      <c r="N20" s="20"/>
      <c r="O20" s="20"/>
      <c r="P20" s="21"/>
    </row>
    <row r="21" spans="4:16">
      <c r="D21" s="41" t="s">
        <v>422</v>
      </c>
      <c r="E21" s="35" t="s">
        <v>412</v>
      </c>
      <c r="F21" s="20"/>
      <c r="G21" s="20"/>
      <c r="H21" s="20"/>
      <c r="I21" s="20"/>
      <c r="J21" s="20"/>
      <c r="K21" s="20"/>
      <c r="L21" s="20"/>
      <c r="M21" s="20"/>
      <c r="N21" s="20"/>
      <c r="O21" s="20"/>
      <c r="P21" s="21"/>
    </row>
    <row r="22" spans="4:16">
      <c r="D22" s="41" t="s">
        <v>359</v>
      </c>
      <c r="E22" s="20" t="s">
        <v>16</v>
      </c>
      <c r="F22" s="20" t="s">
        <v>20</v>
      </c>
      <c r="G22" s="20" t="s">
        <v>53</v>
      </c>
      <c r="H22" s="20" t="s">
        <v>50</v>
      </c>
      <c r="I22" s="20" t="s">
        <v>360</v>
      </c>
      <c r="J22" s="20"/>
      <c r="K22" s="94">
        <f>(GETPIVOTDATA("ENGAGEMENT RATE",$D$21,"status of cmpign","During")-GETPIVOTDATA("ENGAGEMENT RATE",$D$21,"status of cmpign","Before"))/GETPIVOTDATA("ENGAGEMENT RATE",$D$21,"status of cmpign","Before")</f>
        <v>0.23348150802589324</v>
      </c>
      <c r="L22" s="20"/>
      <c r="M22" s="20"/>
      <c r="N22" s="20"/>
      <c r="O22" s="20"/>
      <c r="P22" s="21"/>
    </row>
    <row r="23" spans="4:16">
      <c r="D23" s="42" t="s">
        <v>419</v>
      </c>
      <c r="E23" s="95">
        <v>9.6937628782019974E-2</v>
      </c>
      <c r="F23" s="95">
        <v>8.5210186146325667E-2</v>
      </c>
      <c r="G23" s="95">
        <v>8.3934545078430817E-2</v>
      </c>
      <c r="H23" s="95">
        <v>0.10476809834244385</v>
      </c>
      <c r="I23" s="95">
        <v>9.3968206328843548E-2</v>
      </c>
      <c r="J23" s="20"/>
      <c r="K23" s="20"/>
      <c r="L23" s="20"/>
      <c r="M23" s="20"/>
      <c r="N23" s="20"/>
      <c r="O23" s="20"/>
      <c r="P23" s="21"/>
    </row>
    <row r="24" spans="4:16">
      <c r="D24" s="42" t="s">
        <v>420</v>
      </c>
      <c r="E24" s="95">
        <v>9.2728032024704268E-2</v>
      </c>
      <c r="F24" s="95">
        <v>8.6673079357551627E-2</v>
      </c>
      <c r="G24" s="95">
        <v>9.7485783233735052E-2</v>
      </c>
      <c r="H24" s="95">
        <v>8.7074450092926969E-2</v>
      </c>
      <c r="I24" s="95">
        <v>9.0475289392051211E-2</v>
      </c>
      <c r="J24" s="20"/>
      <c r="K24" s="20"/>
      <c r="L24" s="20"/>
      <c r="M24" s="20"/>
      <c r="N24" s="20"/>
      <c r="O24" s="20"/>
      <c r="P24" s="21"/>
    </row>
    <row r="25" spans="4:16">
      <c r="D25" s="42" t="s">
        <v>421</v>
      </c>
      <c r="E25" s="95">
        <v>0.12086180294512508</v>
      </c>
      <c r="F25" s="95">
        <v>0.11095871200554182</v>
      </c>
      <c r="G25" s="95">
        <v>7.8574756612039942E-2</v>
      </c>
      <c r="H25" s="95">
        <v>9.5604953356204198E-2</v>
      </c>
      <c r="I25" s="95">
        <v>0.11159959639838643</v>
      </c>
      <c r="J25" s="20"/>
      <c r="K25" s="20"/>
      <c r="L25" s="20"/>
      <c r="M25" s="20"/>
      <c r="N25" s="20"/>
      <c r="O25" s="20"/>
      <c r="P25" s="21"/>
    </row>
    <row r="26" spans="4:16">
      <c r="D26" s="42" t="s">
        <v>360</v>
      </c>
      <c r="E26" s="36">
        <v>9.5830988845595544E-2</v>
      </c>
      <c r="F26" s="36">
        <v>8.805203649121604E-2</v>
      </c>
      <c r="G26" s="36">
        <v>9.0106881535033476E-2</v>
      </c>
      <c r="H26" s="36">
        <v>9.5509123528654066E-2</v>
      </c>
      <c r="I26" s="36">
        <v>9.2815577060236784E-2</v>
      </c>
      <c r="J26" s="20"/>
      <c r="K26" s="20"/>
      <c r="L26" s="20"/>
      <c r="M26" s="20"/>
      <c r="N26" s="20"/>
      <c r="O26" s="20"/>
      <c r="P26" s="21"/>
    </row>
    <row r="27" spans="4:16">
      <c r="D27" s="19"/>
      <c r="E27" s="20"/>
      <c r="F27" s="20"/>
      <c r="G27" s="20"/>
      <c r="H27" s="20"/>
      <c r="I27" s="20"/>
      <c r="J27" s="20"/>
      <c r="K27" s="20"/>
      <c r="L27" s="20"/>
      <c r="M27" s="20"/>
      <c r="N27" s="20"/>
      <c r="O27" s="20"/>
      <c r="P27" s="21"/>
    </row>
    <row r="28" spans="4:16" ht="18.75">
      <c r="D28" s="96" t="s">
        <v>423</v>
      </c>
      <c r="E28" s="97"/>
      <c r="F28" s="98"/>
      <c r="G28" s="20"/>
      <c r="H28" s="20"/>
      <c r="I28" s="20"/>
      <c r="J28" s="20"/>
      <c r="K28" s="20"/>
      <c r="L28" s="20"/>
      <c r="M28" s="20"/>
      <c r="N28" s="20"/>
      <c r="O28" s="20"/>
      <c r="P28" s="21"/>
    </row>
    <row r="29" spans="4:16" ht="18.75" customHeight="1">
      <c r="D29" s="99" t="s">
        <v>425</v>
      </c>
      <c r="E29" s="100" t="s">
        <v>424</v>
      </c>
      <c r="F29" s="20"/>
      <c r="G29" s="20"/>
      <c r="H29" s="20"/>
      <c r="I29" s="20"/>
      <c r="J29" s="20"/>
      <c r="K29" s="20"/>
      <c r="L29" s="20"/>
      <c r="M29" s="20"/>
      <c r="N29" s="20"/>
      <c r="O29" s="20"/>
      <c r="P29" s="21"/>
    </row>
    <row r="30" spans="4:16">
      <c r="D30" s="101" t="s">
        <v>16</v>
      </c>
      <c r="E30" s="94">
        <f>(GETPIVOTDATA("ENGAGEMENT RATE",$D$21,"Campaign_Name","ChillVibes","status of cmpign","During")-GETPIVOTDATA("ENGAGEMENT RATE",$D$21,"Campaign_Name","ChillVibes","status of cmpign","Before"))/GETPIVOTDATA("ENGAGEMENT RATE",$D$21,"Campaign_Name","ChillVibes","status of cmpign","Before")</f>
        <v>0.30340092748787673</v>
      </c>
      <c r="F30" s="20"/>
      <c r="G30" s="20"/>
      <c r="H30" s="20"/>
      <c r="I30" s="20"/>
      <c r="J30" s="20"/>
      <c r="K30" s="20"/>
      <c r="L30" s="20"/>
      <c r="M30" s="20"/>
      <c r="N30" s="20"/>
      <c r="O30" s="20"/>
      <c r="P30" s="21"/>
    </row>
    <row r="31" spans="4:16">
      <c r="D31" s="101" t="s">
        <v>20</v>
      </c>
      <c r="E31" s="94">
        <f>(GETPIVOTDATA("ENGAGEMENT RATE",$D$21,"Campaign_Name","IndieWave","status of cmpign","During")-GETPIVOTDATA("ENGAGEMENT RATE",$D$21,"Campaign_Name","IndieWave","status of cmpign","Before"))/GETPIVOTDATA("ENGAGEMENT RATE",$D$21,"Campaign_Name","IndieWave","status of cmpign","Before")</f>
        <v>0.28019810566329256</v>
      </c>
      <c r="F31" s="20"/>
      <c r="G31" s="20"/>
      <c r="H31" s="20"/>
      <c r="I31" s="20"/>
      <c r="J31" s="20"/>
      <c r="K31" s="20"/>
      <c r="L31" s="20"/>
      <c r="M31" s="20"/>
      <c r="N31" s="20"/>
      <c r="O31" s="20"/>
      <c r="P31" s="21"/>
    </row>
    <row r="32" spans="4:16">
      <c r="D32" s="101" t="s">
        <v>53</v>
      </c>
      <c r="E32" s="94">
        <f>(GETPIVOTDATA("ENGAGEMENT RATE",$D$21,"Campaign_Name","SummerBeats","status of cmpign","During")-GETPIVOTDATA("ENGAGEMENT RATE",$D$21,"Campaign_Name","SummerBeats","status of cmpign","Before"))/GETPIVOTDATA("ENGAGEMENT RATE",$D$21,"Campaign_Name","SummerBeats","status of cmpign","Before")</f>
        <v>-0.19398753330373747</v>
      </c>
      <c r="F32" s="20"/>
      <c r="G32" s="20"/>
      <c r="H32" s="20"/>
      <c r="I32" s="20"/>
      <c r="J32" s="20"/>
      <c r="K32" s="20"/>
      <c r="L32" s="20"/>
      <c r="M32" s="20"/>
      <c r="N32" s="20"/>
      <c r="O32" s="20"/>
      <c r="P32" s="21"/>
    </row>
    <row r="33" spans="4:16">
      <c r="D33" s="101" t="s">
        <v>50</v>
      </c>
      <c r="E33" s="94">
        <f>(GETPIVOTDATA("ENGAGEMENT RATE",$D$21,"Campaign_Name","Wrapped2024","status of cmpign","During")-GETPIVOTDATA("ENGAGEMENT RATE",$D$21,"Campaign_Name","Wrapped2024","status of cmpign","Before"))/GETPIVOTDATA("ENGAGEMENT RATE",$D$21,"Campaign_Name","Wrapped2024","status of cmpign","Before")</f>
        <v>9.7967925771260872E-2</v>
      </c>
      <c r="F33" s="20"/>
      <c r="G33" s="20"/>
      <c r="H33" s="20"/>
      <c r="I33" s="20"/>
      <c r="J33" s="20"/>
      <c r="K33" s="20"/>
      <c r="L33" s="20"/>
      <c r="M33" s="20"/>
      <c r="N33" s="20"/>
      <c r="O33" s="20"/>
      <c r="P33" s="21"/>
    </row>
    <row r="34" spans="4:16">
      <c r="D34" s="19"/>
      <c r="E34" s="20"/>
      <c r="F34" s="20"/>
      <c r="G34" s="20"/>
      <c r="H34" s="20"/>
      <c r="I34" s="20"/>
      <c r="J34" s="20"/>
      <c r="K34" s="20"/>
      <c r="L34" s="20"/>
      <c r="M34" s="20"/>
      <c r="N34" s="20"/>
      <c r="O34" s="20"/>
      <c r="P34" s="21"/>
    </row>
    <row r="35" spans="4:16">
      <c r="D35" s="19"/>
      <c r="E35" s="20"/>
      <c r="F35" s="20"/>
      <c r="G35" s="20"/>
      <c r="H35" s="20"/>
      <c r="I35" s="20"/>
      <c r="J35" s="20"/>
      <c r="K35" s="20"/>
      <c r="L35" s="20"/>
      <c r="M35" s="20"/>
      <c r="N35" s="20"/>
      <c r="O35" s="20"/>
      <c r="P35" s="21"/>
    </row>
    <row r="36" spans="4:16">
      <c r="D36" s="19"/>
      <c r="E36" s="20"/>
      <c r="F36" s="20"/>
      <c r="G36" s="20"/>
      <c r="H36" s="20"/>
      <c r="I36" s="20"/>
      <c r="J36" s="20"/>
      <c r="K36" s="20"/>
      <c r="L36" s="20"/>
      <c r="M36" s="20"/>
      <c r="N36" s="20"/>
      <c r="O36" s="20"/>
      <c r="P36" s="21"/>
    </row>
    <row r="37" spans="4:16">
      <c r="D37" s="19"/>
      <c r="E37" s="20"/>
      <c r="F37" s="20"/>
      <c r="G37" s="20"/>
      <c r="H37" s="20"/>
      <c r="I37" s="20"/>
      <c r="J37" s="20"/>
      <c r="K37" s="20"/>
      <c r="L37" s="20"/>
      <c r="M37" s="20"/>
      <c r="N37" s="20"/>
      <c r="O37" s="20"/>
      <c r="P37" s="21"/>
    </row>
    <row r="38" spans="4:16">
      <c r="D38" s="19"/>
      <c r="E38" s="20"/>
      <c r="F38" s="20"/>
      <c r="G38" s="20"/>
      <c r="H38" s="20"/>
      <c r="I38" s="20"/>
      <c r="J38" s="20"/>
      <c r="K38" s="20"/>
      <c r="L38" s="20"/>
      <c r="M38" s="20"/>
      <c r="N38" s="20"/>
      <c r="O38" s="20"/>
      <c r="P38" s="21"/>
    </row>
    <row r="39" spans="4:16">
      <c r="D39" s="19"/>
      <c r="E39" s="20"/>
      <c r="F39" s="20"/>
      <c r="G39" s="20"/>
      <c r="H39" s="20"/>
      <c r="I39" s="20"/>
      <c r="J39" s="20"/>
      <c r="K39" s="20"/>
      <c r="L39" s="20"/>
      <c r="M39" s="20"/>
      <c r="N39" s="20"/>
      <c r="O39" s="20"/>
      <c r="P39" s="21"/>
    </row>
    <row r="40" spans="4:16">
      <c r="D40" s="19"/>
      <c r="E40" s="20"/>
      <c r="F40" s="20"/>
      <c r="G40" s="20"/>
      <c r="H40" s="20"/>
      <c r="I40" s="20"/>
      <c r="J40" s="20"/>
      <c r="K40" s="20"/>
      <c r="L40" s="20"/>
      <c r="M40" s="20"/>
      <c r="N40" s="20"/>
      <c r="O40" s="20"/>
      <c r="P40" s="21"/>
    </row>
    <row r="41" spans="4:16">
      <c r="D41" s="19"/>
      <c r="E41" s="20"/>
      <c r="F41" s="20"/>
      <c r="G41" s="20"/>
      <c r="H41" s="20"/>
      <c r="I41" s="20"/>
      <c r="J41" s="20"/>
      <c r="K41" s="20"/>
      <c r="L41" s="20"/>
      <c r="M41" s="20"/>
      <c r="N41" s="20"/>
      <c r="O41" s="20"/>
      <c r="P41" s="21"/>
    </row>
    <row r="42" spans="4:16">
      <c r="D42" s="19"/>
      <c r="E42" s="20"/>
      <c r="F42" s="20"/>
      <c r="G42" s="20"/>
      <c r="H42" s="20"/>
      <c r="I42" s="20"/>
      <c r="J42" s="20"/>
      <c r="K42" s="20"/>
      <c r="L42" s="20"/>
      <c r="M42" s="20"/>
      <c r="N42" s="20"/>
      <c r="O42" s="20"/>
      <c r="P42" s="21"/>
    </row>
    <row r="43" spans="4:16">
      <c r="D43" s="19"/>
      <c r="E43" s="20"/>
      <c r="F43" s="20"/>
      <c r="G43" s="20"/>
      <c r="H43" s="20"/>
      <c r="I43" s="20"/>
      <c r="J43" s="20"/>
      <c r="K43" s="20"/>
      <c r="L43" s="20"/>
      <c r="M43" s="20"/>
      <c r="N43" s="20"/>
      <c r="O43" s="20"/>
      <c r="P43" s="21"/>
    </row>
    <row r="44" spans="4:16">
      <c r="D44" s="19"/>
      <c r="E44" s="20"/>
      <c r="F44" s="20"/>
      <c r="G44" s="20"/>
      <c r="H44" s="20"/>
      <c r="I44" s="20"/>
      <c r="J44" s="20"/>
      <c r="K44" s="20"/>
      <c r="L44" s="20"/>
      <c r="M44" s="20"/>
      <c r="N44" s="20"/>
      <c r="O44" s="20"/>
      <c r="P44" s="21"/>
    </row>
    <row r="45" spans="4:16">
      <c r="D45" s="19"/>
      <c r="E45" s="20"/>
      <c r="F45" s="20"/>
      <c r="G45" s="20"/>
      <c r="H45" s="20"/>
      <c r="I45" s="20"/>
      <c r="J45" s="20"/>
      <c r="K45" s="20"/>
      <c r="L45" s="20"/>
      <c r="M45" s="20"/>
      <c r="N45" s="20"/>
      <c r="O45" s="20"/>
      <c r="P45" s="21"/>
    </row>
    <row r="46" spans="4:16">
      <c r="D46" s="19"/>
      <c r="E46" s="20"/>
      <c r="F46" s="20"/>
      <c r="G46" s="20"/>
      <c r="H46" s="20"/>
      <c r="I46" s="20"/>
      <c r="J46" s="20"/>
      <c r="K46" s="20"/>
      <c r="L46" s="20"/>
      <c r="M46" s="20"/>
      <c r="N46" s="20"/>
      <c r="O46" s="20"/>
      <c r="P46" s="21"/>
    </row>
    <row r="47" spans="4:16">
      <c r="D47" s="19"/>
      <c r="E47" s="20"/>
      <c r="F47" s="20"/>
      <c r="G47" s="20"/>
      <c r="H47" s="20"/>
      <c r="I47" s="20"/>
      <c r="J47" s="20"/>
      <c r="K47" s="20"/>
      <c r="L47" s="20"/>
      <c r="M47" s="20"/>
      <c r="N47" s="20"/>
      <c r="O47" s="20"/>
      <c r="P47" s="21"/>
    </row>
    <row r="48" spans="4:16">
      <c r="D48" s="19"/>
      <c r="E48" s="20"/>
      <c r="F48" s="20"/>
      <c r="G48" s="20"/>
      <c r="H48" s="20"/>
      <c r="I48" s="20"/>
      <c r="J48" s="20"/>
      <c r="K48" s="20"/>
      <c r="L48" s="20"/>
      <c r="M48" s="20"/>
      <c r="N48" s="20"/>
      <c r="O48" s="20"/>
      <c r="P48" s="21"/>
    </row>
    <row r="49" spans="4:19">
      <c r="D49" s="19"/>
      <c r="E49" s="20"/>
      <c r="F49" s="20"/>
      <c r="G49" s="20"/>
      <c r="H49" s="20"/>
      <c r="I49" s="20"/>
      <c r="J49" s="20"/>
      <c r="K49" s="20"/>
      <c r="L49" s="20"/>
      <c r="M49" s="20"/>
      <c r="N49" s="20"/>
      <c r="O49" s="20"/>
      <c r="P49" s="21"/>
    </row>
    <row r="50" spans="4:19">
      <c r="D50" s="19"/>
      <c r="E50" s="20"/>
      <c r="F50" s="20"/>
      <c r="G50" s="20"/>
      <c r="H50" s="20"/>
      <c r="I50" s="20"/>
      <c r="J50" s="20"/>
      <c r="K50" s="20"/>
      <c r="L50" s="20"/>
      <c r="M50" s="20"/>
      <c r="N50" s="20"/>
      <c r="O50" s="20"/>
      <c r="P50" s="21"/>
    </row>
    <row r="51" spans="4:19" ht="15.75" thickBot="1">
      <c r="D51" s="24"/>
      <c r="E51" s="25"/>
      <c r="F51" s="25"/>
      <c r="G51" s="25"/>
      <c r="H51" s="25"/>
      <c r="I51" s="25"/>
      <c r="J51" s="25"/>
      <c r="K51" s="25"/>
      <c r="L51" s="25"/>
      <c r="M51" s="25"/>
      <c r="N51" s="25"/>
      <c r="O51" s="25"/>
      <c r="P51" s="26"/>
    </row>
    <row r="56" spans="4:19" ht="15.75" thickBot="1"/>
    <row r="57" spans="4:19">
      <c r="D57" s="164" t="s">
        <v>443</v>
      </c>
      <c r="E57" s="159"/>
      <c r="F57" s="159"/>
      <c r="G57" s="159"/>
      <c r="H57" s="159"/>
      <c r="I57" s="159"/>
      <c r="J57" s="159"/>
      <c r="K57" s="160"/>
      <c r="M57" s="164" t="s">
        <v>444</v>
      </c>
      <c r="N57" s="159"/>
      <c r="O57" s="159"/>
      <c r="P57" s="159"/>
      <c r="Q57" s="159"/>
      <c r="R57" s="159"/>
      <c r="S57" s="160"/>
    </row>
    <row r="58" spans="4:19">
      <c r="D58" s="165"/>
      <c r="E58" s="139"/>
      <c r="F58" s="139"/>
      <c r="G58" s="139"/>
      <c r="H58" s="139"/>
      <c r="I58" s="139"/>
      <c r="J58" s="139"/>
      <c r="K58" s="166"/>
      <c r="M58" s="165"/>
      <c r="N58" s="139"/>
      <c r="O58" s="139"/>
      <c r="P58" s="139"/>
      <c r="Q58" s="139"/>
      <c r="R58" s="139"/>
      <c r="S58" s="166"/>
    </row>
    <row r="59" spans="4:19" ht="15.75" thickBot="1">
      <c r="D59" s="19"/>
      <c r="I59" s="20"/>
      <c r="J59" s="20"/>
      <c r="K59" s="21"/>
      <c r="M59" s="19"/>
      <c r="N59" s="20"/>
      <c r="Q59" s="20"/>
      <c r="R59" s="20"/>
      <c r="S59" s="21"/>
    </row>
    <row r="60" spans="4:19" ht="15.75" thickBot="1">
      <c r="D60" s="19"/>
      <c r="E60" s="52" t="s">
        <v>359</v>
      </c>
      <c r="F60" s="64" t="s">
        <v>382</v>
      </c>
      <c r="G60" s="71" t="s">
        <v>383</v>
      </c>
      <c r="H60" s="65" t="s">
        <v>428</v>
      </c>
      <c r="I60" s="20"/>
      <c r="J60" s="20"/>
      <c r="K60" s="21"/>
      <c r="M60" s="19"/>
      <c r="N60" s="20"/>
      <c r="O60" s="52" t="s">
        <v>359</v>
      </c>
      <c r="P60" s="55" t="s">
        <v>431</v>
      </c>
      <c r="Q60" s="20"/>
      <c r="R60" s="20"/>
      <c r="S60" s="21"/>
    </row>
    <row r="61" spans="4:19">
      <c r="D61" s="19"/>
      <c r="E61" s="60" t="s">
        <v>16</v>
      </c>
      <c r="F61" s="56">
        <v>93.74</v>
      </c>
      <c r="G61" s="70">
        <v>201460</v>
      </c>
      <c r="H61" s="88">
        <v>0.10340353289551248</v>
      </c>
      <c r="I61" s="20"/>
      <c r="J61" s="20"/>
      <c r="K61" s="21"/>
      <c r="M61" s="19"/>
      <c r="N61" s="20"/>
      <c r="O61" s="60" t="s">
        <v>16</v>
      </c>
      <c r="P61" s="49">
        <v>10142</v>
      </c>
      <c r="Q61" s="20"/>
      <c r="R61" s="20"/>
      <c r="S61" s="21"/>
    </row>
    <row r="62" spans="4:19">
      <c r="D62" s="19"/>
      <c r="E62" s="61" t="s">
        <v>20</v>
      </c>
      <c r="F62" s="58">
        <v>103.76</v>
      </c>
      <c r="G62" s="36">
        <v>246330</v>
      </c>
      <c r="H62" s="43">
        <v>7.480331889988355E-2</v>
      </c>
      <c r="I62" s="20"/>
      <c r="J62" s="20"/>
      <c r="K62" s="21"/>
      <c r="M62" s="19"/>
      <c r="N62" s="20"/>
      <c r="O62" s="61" t="s">
        <v>20</v>
      </c>
      <c r="P62" s="50">
        <v>12726</v>
      </c>
      <c r="Q62" s="20"/>
      <c r="R62" s="20"/>
      <c r="S62" s="21"/>
    </row>
    <row r="63" spans="4:19">
      <c r="D63" s="19"/>
      <c r="E63" s="61" t="s">
        <v>427</v>
      </c>
      <c r="F63" s="58">
        <v>941.24000000000012</v>
      </c>
      <c r="G63" s="36">
        <v>2271570</v>
      </c>
      <c r="H63" s="43">
        <v>0.6881146952153705</v>
      </c>
      <c r="I63" s="20"/>
      <c r="J63" s="20"/>
      <c r="K63" s="21"/>
      <c r="M63" s="19"/>
      <c r="N63" s="20"/>
      <c r="O63" s="61" t="s">
        <v>53</v>
      </c>
      <c r="P63" s="50">
        <v>13558</v>
      </c>
      <c r="Q63" s="20"/>
      <c r="R63" s="20"/>
      <c r="S63" s="21"/>
    </row>
    <row r="64" spans="4:19" ht="15.75" thickBot="1">
      <c r="D64" s="19"/>
      <c r="E64" s="61" t="s">
        <v>53</v>
      </c>
      <c r="F64" s="58">
        <v>107.08999999999999</v>
      </c>
      <c r="G64" s="36">
        <v>252741</v>
      </c>
      <c r="H64" s="43">
        <v>6.8170934143232664E-2</v>
      </c>
      <c r="I64" s="20"/>
      <c r="J64" s="20"/>
      <c r="K64" s="21"/>
      <c r="M64" s="19"/>
      <c r="N64" s="20"/>
      <c r="O64" s="62" t="s">
        <v>50</v>
      </c>
      <c r="P64" s="50">
        <v>11361</v>
      </c>
      <c r="Q64" s="20"/>
      <c r="R64" s="20"/>
      <c r="S64" s="21"/>
    </row>
    <row r="65" spans="4:31" ht="15.75" thickBot="1">
      <c r="D65" s="19"/>
      <c r="E65" s="62" t="s">
        <v>50</v>
      </c>
      <c r="F65" s="58">
        <v>91.66</v>
      </c>
      <c r="G65" s="36">
        <v>243827</v>
      </c>
      <c r="H65" s="43">
        <v>6.5507518846000881E-2</v>
      </c>
      <c r="I65" s="20"/>
      <c r="J65" s="20"/>
      <c r="K65" s="21"/>
      <c r="M65" s="19"/>
      <c r="N65" s="20"/>
      <c r="O65" s="63" t="s">
        <v>360</v>
      </c>
      <c r="P65" s="51">
        <v>47787</v>
      </c>
      <c r="Q65" s="20"/>
      <c r="R65" s="20"/>
      <c r="S65" s="21"/>
    </row>
    <row r="66" spans="4:31" ht="15.75" thickBot="1">
      <c r="D66" s="19"/>
      <c r="E66" s="63" t="s">
        <v>360</v>
      </c>
      <c r="F66" s="59">
        <v>1337.4900000000002</v>
      </c>
      <c r="G66" s="40">
        <v>3215928</v>
      </c>
      <c r="H66" s="44">
        <v>1</v>
      </c>
      <c r="I66" s="20"/>
      <c r="J66" s="20"/>
      <c r="K66" s="21"/>
      <c r="M66" s="19"/>
      <c r="N66" s="20"/>
      <c r="P66" s="20"/>
      <c r="Q66" s="20"/>
      <c r="R66" s="20"/>
      <c r="S66" s="21"/>
    </row>
    <row r="67" spans="4:31">
      <c r="D67" s="19"/>
      <c r="E67" s="20"/>
      <c r="F67" s="20"/>
      <c r="G67" s="20"/>
      <c r="H67" s="20"/>
      <c r="I67" s="20"/>
      <c r="J67" s="20"/>
      <c r="K67" s="21"/>
      <c r="M67" s="19"/>
      <c r="N67" s="20"/>
      <c r="O67" s="20"/>
      <c r="P67" s="20"/>
      <c r="Q67" s="20"/>
      <c r="R67" s="20"/>
      <c r="S67" s="21"/>
    </row>
    <row r="68" spans="4:31">
      <c r="D68" s="19"/>
      <c r="E68" s="20"/>
      <c r="F68" s="20"/>
      <c r="G68" s="20"/>
      <c r="H68" s="20"/>
      <c r="I68" s="20"/>
      <c r="J68" s="20"/>
      <c r="K68" s="21"/>
      <c r="M68" s="19"/>
      <c r="N68" s="20"/>
      <c r="P68" s="87" t="str" cm="1">
        <f t="array" ref="P68">INDEX(Table2[campign name],
       MATCH(MAX(SUMIFS(Table2[net followers grth],Table2[campign name],Table2[campign name]) *
                 (Table2[campign name]&lt;&gt;"No Campign")),
            SUMIFS(Table2[net followers grth],Table2[campign name],Table2[campign name]) *
            (Table2[campign name]&lt;&gt;"No Campign"),0))</f>
        <v>SummerBeats</v>
      </c>
      <c r="Q68" s="20"/>
      <c r="R68" s="20"/>
      <c r="S68" s="21"/>
    </row>
    <row r="69" spans="4:31">
      <c r="D69" s="19"/>
      <c r="E69" s="20"/>
      <c r="F69" s="20"/>
      <c r="G69" s="87" t="str" cm="1">
        <f t="array" ref="G69">INDEX(Table2[campign name],MATCH(MAX(SUMIFS(Table2[ROI],Table2[campign name],Table2[campign name]) *(Table2[campign name]&lt;&gt;"No Campign")), SUMIFS(Table2[ROI],Table2[campign name],Table2[campign name]) * (Table2[campign name]&lt;&gt;"No Campign"),0))</f>
        <v>ChillVibes</v>
      </c>
      <c r="H69" s="20"/>
      <c r="I69" s="20"/>
      <c r="J69" s="20"/>
      <c r="K69" s="21"/>
      <c r="M69" s="19"/>
      <c r="N69" s="20"/>
      <c r="O69" s="20"/>
      <c r="P69" s="20"/>
      <c r="Q69" s="20"/>
      <c r="R69" s="20"/>
      <c r="S69" s="21"/>
    </row>
    <row r="70" spans="4:31">
      <c r="D70" s="19"/>
      <c r="E70" s="20"/>
      <c r="F70" s="20"/>
      <c r="G70" s="20"/>
      <c r="H70" s="20"/>
      <c r="I70" s="20"/>
      <c r="J70" s="20"/>
      <c r="K70" s="21"/>
      <c r="M70" s="19"/>
      <c r="N70" s="20"/>
      <c r="O70" s="20"/>
      <c r="P70" s="20"/>
      <c r="Q70" s="20"/>
      <c r="R70" s="20"/>
      <c r="S70" s="21"/>
      <c r="AE70" t="str" cm="1">
        <f t="array" ref="AE70">INDEX(Table2[campign name],MATCH(MAX(IF(Table2[campign name]&lt;&gt;"No Campign",Table2[net followers grth])),Table2[net followers grth],0))</f>
        <v>Wrapped2024</v>
      </c>
    </row>
    <row r="71" spans="4:31">
      <c r="D71" s="19"/>
      <c r="E71" s="20"/>
      <c r="F71" s="20"/>
      <c r="G71" s="20"/>
      <c r="H71" s="20"/>
      <c r="I71" s="20"/>
      <c r="J71" s="20"/>
      <c r="K71" s="21"/>
      <c r="M71" s="19"/>
      <c r="N71" s="20"/>
      <c r="O71" s="20"/>
      <c r="P71" s="20"/>
      <c r="Q71" s="20"/>
      <c r="R71" s="20"/>
      <c r="S71" s="21"/>
    </row>
    <row r="72" spans="4:31">
      <c r="D72" s="19"/>
      <c r="E72" s="20"/>
      <c r="F72" s="20"/>
      <c r="G72" s="20"/>
      <c r="H72" s="20"/>
      <c r="I72" s="20"/>
      <c r="J72" s="20"/>
      <c r="K72" s="21"/>
      <c r="M72" s="19"/>
      <c r="N72" s="20"/>
      <c r="O72" s="20"/>
      <c r="P72" s="20"/>
      <c r="Q72" s="20"/>
      <c r="R72" s="20"/>
      <c r="S72" s="21"/>
    </row>
    <row r="73" spans="4:31">
      <c r="D73" s="19"/>
      <c r="E73" s="20"/>
      <c r="F73" s="20"/>
      <c r="G73" s="20"/>
      <c r="H73" s="20"/>
      <c r="I73" s="20"/>
      <c r="J73" s="20"/>
      <c r="K73" s="21"/>
      <c r="M73" s="19"/>
      <c r="N73" s="20"/>
      <c r="O73" s="20"/>
      <c r="P73" s="20"/>
      <c r="Q73" s="20"/>
      <c r="R73" s="20"/>
      <c r="S73" s="21"/>
    </row>
    <row r="74" spans="4:31">
      <c r="D74" s="19"/>
      <c r="E74" s="20"/>
      <c r="F74" s="20"/>
      <c r="G74" s="20"/>
      <c r="H74" s="20"/>
      <c r="I74" s="20"/>
      <c r="J74" s="20"/>
      <c r="K74" s="21"/>
      <c r="M74" s="19"/>
      <c r="N74" s="20"/>
      <c r="O74" s="20"/>
      <c r="P74" s="20"/>
      <c r="Q74" s="20"/>
      <c r="R74" s="20"/>
      <c r="S74" s="21"/>
    </row>
    <row r="75" spans="4:31">
      <c r="D75" s="19"/>
      <c r="E75" s="20"/>
      <c r="F75" s="20"/>
      <c r="G75" s="20"/>
      <c r="H75" s="20"/>
      <c r="I75" s="20"/>
      <c r="J75" s="20"/>
      <c r="K75" s="21"/>
      <c r="M75" s="19"/>
      <c r="N75" s="20"/>
      <c r="O75" s="20"/>
      <c r="P75" s="20"/>
      <c r="Q75" s="20"/>
      <c r="R75" s="20"/>
      <c r="S75" s="21"/>
    </row>
    <row r="76" spans="4:31">
      <c r="D76" s="19"/>
      <c r="E76" s="20"/>
      <c r="F76" s="20"/>
      <c r="G76" s="20"/>
      <c r="H76" s="20"/>
      <c r="I76" s="20"/>
      <c r="J76" s="20"/>
      <c r="K76" s="21"/>
      <c r="M76" s="19"/>
      <c r="N76" s="20"/>
      <c r="O76" s="20"/>
      <c r="P76" s="20"/>
      <c r="Q76" s="20"/>
      <c r="R76" s="20"/>
      <c r="S76" s="21"/>
    </row>
    <row r="77" spans="4:31">
      <c r="D77" s="19"/>
      <c r="E77" s="20"/>
      <c r="F77" s="20"/>
      <c r="G77" s="20"/>
      <c r="H77" s="20"/>
      <c r="I77" s="20"/>
      <c r="J77" s="20"/>
      <c r="K77" s="21"/>
      <c r="M77" s="19"/>
      <c r="N77" s="20"/>
      <c r="O77" s="20"/>
      <c r="P77" s="20"/>
      <c r="Q77" s="20"/>
      <c r="R77" s="20"/>
      <c r="S77" s="21"/>
    </row>
    <row r="78" spans="4:31">
      <c r="D78" s="19"/>
      <c r="E78" s="20"/>
      <c r="F78" s="20"/>
      <c r="G78" s="20"/>
      <c r="H78" s="20"/>
      <c r="I78" s="20"/>
      <c r="J78" s="20"/>
      <c r="K78" s="21"/>
      <c r="M78" s="19"/>
      <c r="N78" s="20"/>
      <c r="O78" s="20"/>
      <c r="P78" s="20"/>
      <c r="Q78" s="20"/>
      <c r="R78" s="20"/>
      <c r="S78" s="21"/>
    </row>
    <row r="79" spans="4:31">
      <c r="D79" s="19"/>
      <c r="E79" s="20"/>
      <c r="F79" s="20"/>
      <c r="G79" s="20"/>
      <c r="H79" s="20"/>
      <c r="I79" s="20"/>
      <c r="J79" s="20"/>
      <c r="K79" s="21"/>
      <c r="M79" s="19"/>
      <c r="N79" s="20"/>
      <c r="O79" s="20"/>
      <c r="P79" s="20"/>
      <c r="Q79" s="20"/>
      <c r="R79" s="20"/>
      <c r="S79" s="21"/>
    </row>
    <row r="80" spans="4:31">
      <c r="D80" s="19"/>
      <c r="E80" s="20"/>
      <c r="F80" s="20"/>
      <c r="G80" s="20"/>
      <c r="H80" s="20"/>
      <c r="I80" s="20"/>
      <c r="J80" s="20"/>
      <c r="K80" s="21"/>
      <c r="M80" s="19"/>
      <c r="N80" s="20"/>
      <c r="O80" s="20"/>
      <c r="P80" s="20"/>
      <c r="Q80" s="20"/>
      <c r="R80" s="20"/>
      <c r="S80" s="21"/>
    </row>
    <row r="81" spans="4:19">
      <c r="D81" s="19"/>
      <c r="E81" s="20"/>
      <c r="F81" s="20"/>
      <c r="G81" s="20"/>
      <c r="H81" s="20"/>
      <c r="I81" s="20"/>
      <c r="J81" s="20"/>
      <c r="K81" s="21"/>
      <c r="M81" s="19"/>
      <c r="N81" s="20"/>
      <c r="O81" s="20"/>
      <c r="P81" s="20"/>
      <c r="Q81" s="20"/>
      <c r="R81" s="20"/>
      <c r="S81" s="21"/>
    </row>
    <row r="82" spans="4:19">
      <c r="D82" s="19"/>
      <c r="E82" s="20"/>
      <c r="F82" s="20"/>
      <c r="G82" s="20"/>
      <c r="H82" s="20"/>
      <c r="I82" s="20"/>
      <c r="J82" s="20"/>
      <c r="K82" s="21"/>
      <c r="M82" s="19"/>
      <c r="N82" s="20"/>
      <c r="O82" s="20"/>
      <c r="P82" s="20"/>
      <c r="Q82" s="20"/>
      <c r="R82" s="20"/>
      <c r="S82" s="21"/>
    </row>
    <row r="83" spans="4:19">
      <c r="D83" s="19"/>
      <c r="E83" s="20"/>
      <c r="F83" s="20"/>
      <c r="G83" s="20"/>
      <c r="H83" s="20"/>
      <c r="I83" s="20"/>
      <c r="J83" s="20"/>
      <c r="K83" s="21"/>
      <c r="M83" s="19"/>
      <c r="N83" s="20"/>
      <c r="O83" s="20"/>
      <c r="P83" s="20"/>
      <c r="Q83" s="20"/>
      <c r="R83" s="20"/>
      <c r="S83" s="21"/>
    </row>
    <row r="84" spans="4:19" ht="15.75" thickBot="1">
      <c r="D84" s="24"/>
      <c r="E84" s="25"/>
      <c r="F84" s="25"/>
      <c r="G84" s="25"/>
      <c r="H84" s="25"/>
      <c r="I84" s="25"/>
      <c r="J84" s="25"/>
      <c r="K84" s="26"/>
      <c r="M84" s="19"/>
      <c r="N84" s="20"/>
      <c r="O84" s="20"/>
      <c r="P84" s="20"/>
      <c r="Q84" s="20"/>
      <c r="R84" s="20"/>
      <c r="S84" s="21"/>
    </row>
    <row r="85" spans="4:19" ht="15.75" thickBot="1">
      <c r="M85" s="24"/>
      <c r="N85" s="25"/>
      <c r="O85" s="25"/>
      <c r="P85" s="25"/>
      <c r="Q85" s="25"/>
      <c r="R85" s="25"/>
      <c r="S85" s="26"/>
    </row>
  </sheetData>
  <mergeCells count="4">
    <mergeCell ref="E5:M5"/>
    <mergeCell ref="D18:P19"/>
    <mergeCell ref="D57:K58"/>
    <mergeCell ref="M57:S58"/>
  </mergeCells>
  <pageMargins left="0.7" right="0.7" top="0.75" bottom="0.75" header="0.3" footer="0.3"/>
  <pageSetup orientation="portrait" r:id="rId5"/>
  <drawing r:id="rId6"/>
  <tableParts count="1">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60CC-C0D5-4376-92E2-CCFF56B6751E}">
  <sheetPr codeName="Sheet11">
    <tabColor rgb="FF92D050"/>
  </sheetPr>
  <dimension ref="C1:M201"/>
  <sheetViews>
    <sheetView topLeftCell="A31" zoomScaleNormal="100" workbookViewId="0">
      <selection activeCell="E9" sqref="E9"/>
    </sheetView>
  </sheetViews>
  <sheetFormatPr defaultRowHeight="15"/>
  <cols>
    <col min="3" max="3" width="20.28515625" style="7" customWidth="1"/>
    <col min="4" max="4" width="21.140625" style="14" customWidth="1"/>
    <col min="5" max="5" width="21.5703125" customWidth="1"/>
    <col min="7" max="7" width="33.42578125" customWidth="1"/>
    <col min="8" max="8" width="10.42578125" bestFit="1" customWidth="1"/>
    <col min="9" max="9" width="22.42578125" bestFit="1" customWidth="1"/>
    <col min="10" max="10" width="23.85546875" bestFit="1" customWidth="1"/>
    <col min="11" max="11" width="16.7109375" bestFit="1" customWidth="1"/>
    <col min="12" max="12" width="17.85546875" bestFit="1" customWidth="1"/>
    <col min="13" max="13" width="13.42578125" customWidth="1"/>
  </cols>
  <sheetData>
    <row r="1" spans="3:13" ht="15.75" thickBot="1">
      <c r="C1" s="72" t="s">
        <v>340</v>
      </c>
      <c r="D1" s="8" t="s">
        <v>430</v>
      </c>
    </row>
    <row r="2" spans="3:13">
      <c r="C2" s="73">
        <v>23125</v>
      </c>
      <c r="D2" s="9">
        <f>Table2[[#This Row],[New_Followers]]-Table2[[#This Row],[Unfollows]]</f>
        <v>1334</v>
      </c>
      <c r="G2" s="167" t="s">
        <v>447</v>
      </c>
      <c r="H2" s="159"/>
      <c r="I2" s="159"/>
      <c r="J2" s="160"/>
    </row>
    <row r="3" spans="3:13">
      <c r="C3" s="73">
        <v>22788</v>
      </c>
      <c r="D3" s="9">
        <f>Table2[[#This Row],[New_Followers]]-Table2[[#This Row],[Unfollows]]</f>
        <v>909</v>
      </c>
      <c r="G3" s="165"/>
      <c r="H3" s="139"/>
      <c r="I3" s="139"/>
      <c r="J3" s="166"/>
    </row>
    <row r="4" spans="3:13">
      <c r="C4" s="73">
        <v>7810</v>
      </c>
      <c r="D4" s="9">
        <f>Table2[[#This Row],[New_Followers]]-Table2[[#This Row],[Unfollows]]</f>
        <v>1176</v>
      </c>
      <c r="G4" s="19"/>
      <c r="H4" s="20"/>
      <c r="I4" s="20"/>
      <c r="J4" s="21"/>
    </row>
    <row r="5" spans="3:13">
      <c r="C5" s="73">
        <v>11966</v>
      </c>
      <c r="D5" s="9">
        <f>Table2[[#This Row],[New_Followers]]-Table2[[#This Row],[Unfollows]]</f>
        <v>928</v>
      </c>
      <c r="G5" s="126" t="s">
        <v>433</v>
      </c>
      <c r="H5" s="20"/>
      <c r="I5" s="20"/>
      <c r="J5" s="21"/>
    </row>
    <row r="6" spans="3:13">
      <c r="C6" s="73">
        <v>26298</v>
      </c>
      <c r="D6" s="9">
        <f>Table2[[#This Row],[New_Followers]]-Table2[[#This Row],[Unfollows]]</f>
        <v>1397</v>
      </c>
      <c r="G6" s="127">
        <f>_xlfn.XLOOKUP(MAX(Table2[New_Followers]),Table2[New_Followers],Table2[Week_Start_Date])</f>
        <v>45656</v>
      </c>
      <c r="H6" s="20"/>
      <c r="I6" s="20"/>
      <c r="J6" s="21"/>
    </row>
    <row r="7" spans="3:13">
      <c r="C7" s="73">
        <v>22029</v>
      </c>
      <c r="D7" s="9">
        <f>Table2[[#This Row],[New_Followers]]-Table2[[#This Row],[Unfollows]]</f>
        <v>452</v>
      </c>
      <c r="G7" s="19"/>
      <c r="H7" s="20"/>
      <c r="I7" s="20"/>
      <c r="J7" s="21"/>
    </row>
    <row r="8" spans="3:13">
      <c r="C8" s="73">
        <v>12391</v>
      </c>
      <c r="D8" s="9">
        <f>Table2[[#This Row],[New_Followers]]-Table2[[#This Row],[Unfollows]]</f>
        <v>590</v>
      </c>
      <c r="G8" s="19"/>
      <c r="H8" s="20"/>
      <c r="I8" s="20"/>
      <c r="J8" s="21"/>
    </row>
    <row r="9" spans="3:13" ht="15.75" thickBot="1">
      <c r="C9" s="73">
        <v>14477</v>
      </c>
      <c r="D9" s="9">
        <f>Table2[[#This Row],[New_Followers]]-Table2[[#This Row],[Unfollows]]</f>
        <v>1283</v>
      </c>
      <c r="G9" s="24"/>
      <c r="H9" s="25"/>
      <c r="I9" s="25"/>
      <c r="J9" s="26"/>
    </row>
    <row r="10" spans="3:13">
      <c r="C10" s="73">
        <v>25040</v>
      </c>
      <c r="D10" s="9">
        <f>Table2[[#This Row],[New_Followers]]-Table2[[#This Row],[Unfollows]]</f>
        <v>1302</v>
      </c>
    </row>
    <row r="11" spans="3:13" ht="15.75" thickBot="1">
      <c r="C11" s="73">
        <v>22619</v>
      </c>
      <c r="D11" s="9">
        <f>Table2[[#This Row],[New_Followers]]-Table2[[#This Row],[Unfollows]]</f>
        <v>612</v>
      </c>
    </row>
    <row r="12" spans="3:13">
      <c r="C12" s="73">
        <v>12399</v>
      </c>
      <c r="D12" s="9">
        <f>Table2[[#This Row],[New_Followers]]-Table2[[#This Row],[Unfollows]]</f>
        <v>1121</v>
      </c>
      <c r="G12" s="167" t="s">
        <v>449</v>
      </c>
      <c r="H12" s="159"/>
      <c r="I12" s="159"/>
      <c r="J12" s="159"/>
      <c r="K12" s="159"/>
      <c r="L12" s="159"/>
      <c r="M12" s="160"/>
    </row>
    <row r="13" spans="3:13">
      <c r="C13" s="73">
        <v>22456</v>
      </c>
      <c r="D13" s="9">
        <f>Table2[[#This Row],[New_Followers]]-Table2[[#This Row],[Unfollows]]</f>
        <v>700</v>
      </c>
      <c r="G13" s="165"/>
      <c r="H13" s="139"/>
      <c r="I13" s="139"/>
      <c r="J13" s="139"/>
      <c r="K13" s="139"/>
      <c r="L13" s="139"/>
      <c r="M13" s="166"/>
    </row>
    <row r="14" spans="3:13">
      <c r="C14" s="73">
        <v>19328</v>
      </c>
      <c r="D14" s="9">
        <f>Table2[[#This Row],[New_Followers]]-Table2[[#This Row],[Unfollows]]</f>
        <v>714</v>
      </c>
      <c r="G14" s="19"/>
      <c r="H14" s="20"/>
      <c r="I14" s="20"/>
      <c r="J14" s="20"/>
      <c r="K14" s="20"/>
      <c r="L14" s="20"/>
      <c r="M14" s="21"/>
    </row>
    <row r="15" spans="3:13">
      <c r="C15" s="73">
        <v>21107</v>
      </c>
      <c r="D15" s="9">
        <f>Table2[[#This Row],[New_Followers]]-Table2[[#This Row],[Unfollows]]</f>
        <v>595</v>
      </c>
      <c r="G15" s="126" t="s">
        <v>432</v>
      </c>
      <c r="H15" s="20"/>
      <c r="I15" s="20"/>
      <c r="J15" s="20"/>
      <c r="K15" s="20"/>
      <c r="L15" s="20"/>
      <c r="M15" s="21"/>
    </row>
    <row r="16" spans="3:13">
      <c r="C16" s="73">
        <v>12277</v>
      </c>
      <c r="D16" s="9">
        <f>Table2[[#This Row],[New_Followers]]-Table2[[#This Row],[Unfollows]]</f>
        <v>1117</v>
      </c>
      <c r="G16" s="128">
        <f>CORREL(Table2[Ad_Spend],Table2[net followers grth])</f>
        <v>-1.4158553581892311E-2</v>
      </c>
      <c r="H16" s="20"/>
      <c r="I16" s="20"/>
      <c r="J16" s="20"/>
      <c r="K16" s="20"/>
      <c r="L16" s="20"/>
      <c r="M16" s="21"/>
    </row>
    <row r="17" spans="3:13">
      <c r="C17" s="73">
        <v>11684</v>
      </c>
      <c r="D17" s="9">
        <f>Table2[[#This Row],[New_Followers]]-Table2[[#This Row],[Unfollows]]</f>
        <v>667</v>
      </c>
      <c r="G17" s="19"/>
      <c r="H17" s="20"/>
      <c r="I17" s="20"/>
      <c r="J17" s="20"/>
      <c r="K17" s="20"/>
      <c r="L17" s="20"/>
      <c r="M17" s="21"/>
    </row>
    <row r="18" spans="3:13">
      <c r="C18" s="73">
        <v>14412</v>
      </c>
      <c r="D18" s="9">
        <f>Table2[[#This Row],[New_Followers]]-Table2[[#This Row],[Unfollows]]</f>
        <v>1371</v>
      </c>
      <c r="G18" s="19"/>
      <c r="H18" s="20"/>
      <c r="I18" s="20"/>
      <c r="J18" s="20"/>
      <c r="K18" s="20"/>
      <c r="L18" s="20"/>
      <c r="M18" s="21"/>
    </row>
    <row r="19" spans="3:13">
      <c r="C19" s="73">
        <v>15924</v>
      </c>
      <c r="D19" s="9">
        <f>Table2[[#This Row],[New_Followers]]-Table2[[#This Row],[Unfollows]]</f>
        <v>1117</v>
      </c>
      <c r="G19" s="19"/>
      <c r="H19" s="20"/>
      <c r="I19" s="20"/>
      <c r="J19" s="20"/>
      <c r="K19" s="20"/>
      <c r="L19" s="20"/>
      <c r="M19" s="21"/>
    </row>
    <row r="20" spans="3:13">
      <c r="C20" s="73">
        <v>12390</v>
      </c>
      <c r="D20" s="9">
        <f>Table2[[#This Row],[New_Followers]]-Table2[[#This Row],[Unfollows]]</f>
        <v>359</v>
      </c>
      <c r="G20" s="19"/>
      <c r="H20" s="20"/>
      <c r="I20" s="20"/>
      <c r="J20" s="20"/>
      <c r="K20" s="20"/>
      <c r="L20" s="20"/>
      <c r="M20" s="21"/>
    </row>
    <row r="21" spans="3:13">
      <c r="C21" s="73">
        <v>25742</v>
      </c>
      <c r="D21" s="9">
        <f>Table2[[#This Row],[New_Followers]]-Table2[[#This Row],[Unfollows]]</f>
        <v>1098</v>
      </c>
      <c r="G21" s="19"/>
      <c r="H21" s="20"/>
      <c r="I21" s="20"/>
      <c r="J21" s="20"/>
      <c r="K21" s="20"/>
      <c r="L21" s="20"/>
      <c r="M21" s="21"/>
    </row>
    <row r="22" spans="3:13">
      <c r="C22" s="73">
        <v>10495</v>
      </c>
      <c r="D22" s="9">
        <f>Table2[[#This Row],[New_Followers]]-Table2[[#This Row],[Unfollows]]</f>
        <v>912</v>
      </c>
      <c r="G22" s="19"/>
      <c r="H22" s="20"/>
      <c r="I22" s="20"/>
      <c r="J22" s="20"/>
      <c r="K22" s="20"/>
      <c r="L22" s="20"/>
      <c r="M22" s="21"/>
    </row>
    <row r="23" spans="3:13">
      <c r="C23" s="73">
        <v>7797</v>
      </c>
      <c r="D23" s="9">
        <f>Table2[[#This Row],[New_Followers]]-Table2[[#This Row],[Unfollows]]</f>
        <v>792</v>
      </c>
      <c r="G23" s="19"/>
      <c r="H23" s="20"/>
      <c r="I23" s="20"/>
      <c r="J23" s="20"/>
      <c r="K23" s="20"/>
      <c r="L23" s="20"/>
      <c r="M23" s="21"/>
    </row>
    <row r="24" spans="3:13">
      <c r="C24" s="73">
        <v>15595</v>
      </c>
      <c r="D24" s="9">
        <f>Table2[[#This Row],[New_Followers]]-Table2[[#This Row],[Unfollows]]</f>
        <v>364</v>
      </c>
      <c r="G24" s="19"/>
      <c r="H24" s="20"/>
      <c r="I24" s="20"/>
      <c r="J24" s="20"/>
      <c r="K24" s="20"/>
      <c r="L24" s="20"/>
      <c r="M24" s="21"/>
    </row>
    <row r="25" spans="3:13">
      <c r="C25" s="73">
        <v>24617</v>
      </c>
      <c r="D25" s="9">
        <f>Table2[[#This Row],[New_Followers]]-Table2[[#This Row],[Unfollows]]</f>
        <v>1125</v>
      </c>
      <c r="G25" s="19"/>
      <c r="H25" s="20"/>
      <c r="I25" s="20"/>
      <c r="J25" s="20"/>
      <c r="K25" s="20"/>
      <c r="L25" s="20"/>
      <c r="M25" s="21"/>
    </row>
    <row r="26" spans="3:13">
      <c r="C26" s="73">
        <v>9847</v>
      </c>
      <c r="D26" s="9">
        <f>Table2[[#This Row],[New_Followers]]-Table2[[#This Row],[Unfollows]]</f>
        <v>869</v>
      </c>
      <c r="G26" s="19"/>
      <c r="H26" s="20"/>
      <c r="I26" s="20"/>
      <c r="J26" s="20"/>
      <c r="K26" s="20"/>
      <c r="L26" s="20"/>
      <c r="M26" s="21"/>
    </row>
    <row r="27" spans="3:13">
      <c r="C27" s="73">
        <v>13644</v>
      </c>
      <c r="D27" s="9">
        <f>Table2[[#This Row],[New_Followers]]-Table2[[#This Row],[Unfollows]]</f>
        <v>414</v>
      </c>
      <c r="G27" s="19"/>
      <c r="H27" s="20"/>
      <c r="I27" s="20"/>
      <c r="J27" s="20"/>
      <c r="K27" s="20"/>
      <c r="L27" s="20"/>
      <c r="M27" s="21"/>
    </row>
    <row r="28" spans="3:13">
      <c r="C28" s="73">
        <v>11421</v>
      </c>
      <c r="D28" s="9">
        <f>Table2[[#This Row],[New_Followers]]-Table2[[#This Row],[Unfollows]]</f>
        <v>849</v>
      </c>
      <c r="G28" s="19"/>
      <c r="H28" s="20"/>
      <c r="I28" s="20"/>
      <c r="J28" s="20"/>
      <c r="K28" s="20"/>
      <c r="L28" s="20"/>
      <c r="M28" s="21"/>
    </row>
    <row r="29" spans="3:13">
      <c r="C29" s="73">
        <v>15613</v>
      </c>
      <c r="D29" s="9">
        <f>Table2[[#This Row],[New_Followers]]-Table2[[#This Row],[Unfollows]]</f>
        <v>1353</v>
      </c>
      <c r="G29" s="19"/>
      <c r="H29" s="20"/>
      <c r="I29" s="20"/>
      <c r="J29" s="20"/>
      <c r="K29" s="20"/>
      <c r="L29" s="20"/>
      <c r="M29" s="21"/>
    </row>
    <row r="30" spans="3:13">
      <c r="C30" s="73">
        <v>23900</v>
      </c>
      <c r="D30" s="9">
        <f>Table2[[#This Row],[New_Followers]]-Table2[[#This Row],[Unfollows]]</f>
        <v>582</v>
      </c>
      <c r="G30" s="19"/>
      <c r="H30" s="20"/>
      <c r="I30" s="20"/>
      <c r="J30" s="20"/>
      <c r="K30" s="20"/>
      <c r="L30" s="20"/>
      <c r="M30" s="21"/>
    </row>
    <row r="31" spans="3:13">
      <c r="C31" s="73">
        <v>5836</v>
      </c>
      <c r="D31" s="9">
        <f>Table2[[#This Row],[New_Followers]]-Table2[[#This Row],[Unfollows]]</f>
        <v>758</v>
      </c>
      <c r="G31" s="19"/>
      <c r="H31" s="20"/>
      <c r="I31" s="20"/>
      <c r="J31" s="20"/>
      <c r="K31" s="20"/>
      <c r="L31" s="20"/>
      <c r="M31" s="21"/>
    </row>
    <row r="32" spans="3:13" ht="15.75" thickBot="1">
      <c r="C32" s="73">
        <v>5624</v>
      </c>
      <c r="D32" s="9">
        <f>Table2[[#This Row],[New_Followers]]-Table2[[#This Row],[Unfollows]]</f>
        <v>977</v>
      </c>
      <c r="G32" s="24"/>
      <c r="H32" s="25"/>
      <c r="I32" s="25"/>
      <c r="J32" s="25"/>
      <c r="K32" s="25"/>
      <c r="L32" s="25"/>
      <c r="M32" s="26"/>
    </row>
    <row r="33" spans="3:13">
      <c r="C33" s="73">
        <v>10311</v>
      </c>
      <c r="D33" s="9">
        <f>Table2[[#This Row],[New_Followers]]-Table2[[#This Row],[Unfollows]]</f>
        <v>1191</v>
      </c>
    </row>
    <row r="34" spans="3:13" ht="15.75" thickBot="1">
      <c r="C34" s="73">
        <v>8274</v>
      </c>
      <c r="D34" s="9">
        <f>Table2[[#This Row],[New_Followers]]-Table2[[#This Row],[Unfollows]]</f>
        <v>904</v>
      </c>
    </row>
    <row r="35" spans="3:13">
      <c r="C35" s="73">
        <v>6031</v>
      </c>
      <c r="D35" s="9">
        <f>Table2[[#This Row],[New_Followers]]-Table2[[#This Row],[Unfollows]]</f>
        <v>909</v>
      </c>
      <c r="G35" s="164" t="s">
        <v>448</v>
      </c>
      <c r="H35" s="159"/>
      <c r="I35" s="159"/>
      <c r="J35" s="159"/>
      <c r="K35" s="159"/>
      <c r="L35" s="159"/>
      <c r="M35" s="160"/>
    </row>
    <row r="36" spans="3:13">
      <c r="C36" s="73">
        <v>27829</v>
      </c>
      <c r="D36" s="9">
        <f>Table2[[#This Row],[New_Followers]]-Table2[[#This Row],[Unfollows]]</f>
        <v>382</v>
      </c>
      <c r="G36" s="165"/>
      <c r="H36" s="139"/>
      <c r="I36" s="139"/>
      <c r="J36" s="139"/>
      <c r="K36" s="139"/>
      <c r="L36" s="139"/>
      <c r="M36" s="166"/>
    </row>
    <row r="37" spans="3:13">
      <c r="C37" s="73">
        <v>18267</v>
      </c>
      <c r="D37" s="9">
        <f>Table2[[#This Row],[New_Followers]]-Table2[[#This Row],[Unfollows]]</f>
        <v>1009</v>
      </c>
      <c r="G37" s="19"/>
      <c r="H37" s="20"/>
      <c r="I37" s="20"/>
      <c r="J37" s="20"/>
      <c r="K37" s="20"/>
      <c r="L37" s="20"/>
      <c r="M37" s="21"/>
    </row>
    <row r="38" spans="3:13">
      <c r="C38" s="73">
        <v>26624</v>
      </c>
      <c r="D38" s="9">
        <f>Table2[[#This Row],[New_Followers]]-Table2[[#This Row],[Unfollows]]</f>
        <v>1022</v>
      </c>
      <c r="G38" s="19"/>
      <c r="H38" s="20"/>
      <c r="I38" s="20"/>
      <c r="J38" s="20"/>
      <c r="K38" s="20"/>
      <c r="L38" s="20"/>
      <c r="M38" s="21"/>
    </row>
    <row r="39" spans="3:13">
      <c r="C39" s="73">
        <v>26644</v>
      </c>
      <c r="D39" s="9">
        <f>Table2[[#This Row],[New_Followers]]-Table2[[#This Row],[Unfollows]]</f>
        <v>262</v>
      </c>
      <c r="G39" s="19"/>
      <c r="H39" s="20"/>
      <c r="I39" s="20"/>
      <c r="J39" s="20"/>
      <c r="K39" s="20"/>
      <c r="L39" s="20"/>
      <c r="M39" s="21"/>
    </row>
    <row r="40" spans="3:13">
      <c r="C40" s="73">
        <v>13051</v>
      </c>
      <c r="D40" s="9">
        <f>Table2[[#This Row],[New_Followers]]-Table2[[#This Row],[Unfollows]]</f>
        <v>1166</v>
      </c>
      <c r="G40" s="19"/>
      <c r="H40" s="20"/>
      <c r="I40" s="20"/>
      <c r="J40" s="20"/>
      <c r="K40" s="20"/>
      <c r="L40" s="20"/>
      <c r="M40" s="21"/>
    </row>
    <row r="41" spans="3:13">
      <c r="C41" s="73">
        <v>14217</v>
      </c>
      <c r="D41" s="9">
        <f>Table2[[#This Row],[New_Followers]]-Table2[[#This Row],[Unfollows]]</f>
        <v>515</v>
      </c>
      <c r="G41" s="19"/>
      <c r="H41" s="20"/>
      <c r="I41" s="20"/>
      <c r="J41" s="20"/>
      <c r="K41" s="20"/>
      <c r="L41" s="20"/>
      <c r="M41" s="21"/>
    </row>
    <row r="42" spans="3:13">
      <c r="C42" s="73">
        <v>16385</v>
      </c>
      <c r="D42" s="9">
        <f>Table2[[#This Row],[New_Followers]]-Table2[[#This Row],[Unfollows]]</f>
        <v>956</v>
      </c>
      <c r="G42" s="19"/>
      <c r="H42" s="20"/>
      <c r="I42" s="20"/>
      <c r="J42" s="20"/>
      <c r="K42" s="20"/>
      <c r="L42" s="20"/>
      <c r="M42" s="21"/>
    </row>
    <row r="43" spans="3:13">
      <c r="C43" s="73">
        <v>24548</v>
      </c>
      <c r="D43" s="9">
        <f>Table2[[#This Row],[New_Followers]]-Table2[[#This Row],[Unfollows]]</f>
        <v>1031</v>
      </c>
      <c r="G43" s="19"/>
      <c r="H43" s="20"/>
      <c r="I43" s="20"/>
      <c r="J43" s="20"/>
      <c r="K43" s="20"/>
      <c r="L43" s="20"/>
      <c r="M43" s="21"/>
    </row>
    <row r="44" spans="3:13">
      <c r="C44" s="73">
        <v>9195</v>
      </c>
      <c r="D44" s="9">
        <f>Table2[[#This Row],[New_Followers]]-Table2[[#This Row],[Unfollows]]</f>
        <v>637</v>
      </c>
      <c r="G44" s="19"/>
      <c r="H44" s="20"/>
      <c r="I44" s="20"/>
      <c r="J44" s="20"/>
      <c r="K44" s="20"/>
      <c r="L44" s="20"/>
      <c r="M44" s="21"/>
    </row>
    <row r="45" spans="3:13">
      <c r="C45" s="73">
        <v>18071</v>
      </c>
      <c r="D45" s="9">
        <f>Table2[[#This Row],[New_Followers]]-Table2[[#This Row],[Unfollows]]</f>
        <v>1268</v>
      </c>
      <c r="G45" s="19"/>
      <c r="H45" s="20"/>
      <c r="I45" s="20"/>
      <c r="J45" s="20"/>
      <c r="K45" s="20"/>
      <c r="L45" s="20"/>
      <c r="M45" s="21"/>
    </row>
    <row r="46" spans="3:13">
      <c r="C46" s="73">
        <v>16875</v>
      </c>
      <c r="D46" s="9">
        <f>Table2[[#This Row],[New_Followers]]-Table2[[#This Row],[Unfollows]]</f>
        <v>725</v>
      </c>
      <c r="G46" s="19"/>
      <c r="H46" s="20"/>
      <c r="I46" s="20"/>
      <c r="J46" s="20"/>
      <c r="K46" s="20"/>
      <c r="L46" s="20"/>
      <c r="M46" s="21"/>
    </row>
    <row r="47" spans="3:13">
      <c r="C47" s="73">
        <v>9567</v>
      </c>
      <c r="D47" s="9">
        <f>Table2[[#This Row],[New_Followers]]-Table2[[#This Row],[Unfollows]]</f>
        <v>471</v>
      </c>
      <c r="G47" s="19"/>
      <c r="H47" s="20"/>
      <c r="I47" s="20"/>
      <c r="J47" s="20"/>
      <c r="K47" s="20"/>
      <c r="L47" s="20"/>
      <c r="M47" s="21"/>
    </row>
    <row r="48" spans="3:13">
      <c r="C48" s="73">
        <v>20306</v>
      </c>
      <c r="D48" s="9">
        <f>Table2[[#This Row],[New_Followers]]-Table2[[#This Row],[Unfollows]]</f>
        <v>1291</v>
      </c>
      <c r="G48" s="19"/>
      <c r="H48" s="20"/>
      <c r="I48" s="20"/>
      <c r="J48" s="20"/>
      <c r="K48" s="20"/>
      <c r="L48" s="20"/>
      <c r="M48" s="21"/>
    </row>
    <row r="49" spans="3:13">
      <c r="C49" s="73">
        <v>21134</v>
      </c>
      <c r="D49" s="9">
        <f>Table2[[#This Row],[New_Followers]]-Table2[[#This Row],[Unfollows]]</f>
        <v>400</v>
      </c>
      <c r="G49" s="19"/>
      <c r="H49" s="20"/>
      <c r="I49" s="20"/>
      <c r="J49" s="20"/>
      <c r="K49" s="20"/>
      <c r="L49" s="20"/>
      <c r="M49" s="21"/>
    </row>
    <row r="50" spans="3:13">
      <c r="C50" s="73">
        <v>26872</v>
      </c>
      <c r="D50" s="9">
        <f>Table2[[#This Row],[New_Followers]]-Table2[[#This Row],[Unfollows]]</f>
        <v>1113</v>
      </c>
      <c r="G50" s="19"/>
      <c r="H50" s="20"/>
      <c r="I50" s="20"/>
      <c r="J50" s="20"/>
      <c r="K50" s="20"/>
      <c r="L50" s="20"/>
      <c r="M50" s="21"/>
    </row>
    <row r="51" spans="3:13">
      <c r="C51" s="73">
        <v>10253</v>
      </c>
      <c r="D51" s="9">
        <f>Table2[[#This Row],[New_Followers]]-Table2[[#This Row],[Unfollows]]</f>
        <v>1198</v>
      </c>
      <c r="G51" s="19"/>
      <c r="H51" s="20"/>
      <c r="I51" s="20"/>
      <c r="J51" s="20"/>
      <c r="K51" s="20"/>
      <c r="L51" s="20"/>
      <c r="M51" s="21"/>
    </row>
    <row r="52" spans="3:13">
      <c r="C52" s="73">
        <v>23963</v>
      </c>
      <c r="D52" s="9">
        <f>Table2[[#This Row],[New_Followers]]-Table2[[#This Row],[Unfollows]]</f>
        <v>474</v>
      </c>
      <c r="G52" s="19"/>
      <c r="H52" s="20"/>
      <c r="I52" s="20"/>
      <c r="J52" s="20"/>
      <c r="K52" s="20"/>
      <c r="L52" s="20"/>
      <c r="M52" s="21"/>
    </row>
    <row r="53" spans="3:13">
      <c r="C53" s="73">
        <v>11335</v>
      </c>
      <c r="D53" s="9">
        <f>Table2[[#This Row],[New_Followers]]-Table2[[#This Row],[Unfollows]]</f>
        <v>1132</v>
      </c>
      <c r="G53" s="19"/>
      <c r="H53" s="20"/>
      <c r="I53" s="20"/>
      <c r="J53" s="20"/>
      <c r="K53" s="20"/>
      <c r="L53" s="20"/>
      <c r="M53" s="21"/>
    </row>
    <row r="54" spans="3:13">
      <c r="C54" s="73">
        <v>12115</v>
      </c>
      <c r="D54" s="9">
        <f>Table2[[#This Row],[New_Followers]]-Table2[[#This Row],[Unfollows]]</f>
        <v>844</v>
      </c>
      <c r="G54" s="19"/>
      <c r="H54" s="20"/>
      <c r="I54" s="20"/>
      <c r="J54" s="20"/>
      <c r="K54" s="20"/>
      <c r="L54" s="20"/>
      <c r="M54" s="21"/>
    </row>
    <row r="55" spans="3:13">
      <c r="C55" s="73">
        <v>24358</v>
      </c>
      <c r="D55" s="9">
        <f>Table2[[#This Row],[New_Followers]]-Table2[[#This Row],[Unfollows]]</f>
        <v>1175</v>
      </c>
      <c r="G55" s="19"/>
      <c r="H55" s="20"/>
      <c r="I55" s="20"/>
      <c r="J55" s="20"/>
      <c r="K55" s="20"/>
      <c r="L55" s="20"/>
      <c r="M55" s="21"/>
    </row>
    <row r="56" spans="3:13">
      <c r="C56" s="73">
        <v>12181</v>
      </c>
      <c r="D56" s="9">
        <f>Table2[[#This Row],[New_Followers]]-Table2[[#This Row],[Unfollows]]</f>
        <v>559</v>
      </c>
      <c r="G56" s="19"/>
      <c r="H56" s="20"/>
      <c r="I56" s="20"/>
      <c r="J56" s="20"/>
      <c r="K56" s="20"/>
      <c r="L56" s="20"/>
      <c r="M56" s="21"/>
    </row>
    <row r="57" spans="3:13">
      <c r="C57" s="73">
        <v>17729</v>
      </c>
      <c r="D57" s="9">
        <f>Table2[[#This Row],[New_Followers]]-Table2[[#This Row],[Unfollows]]</f>
        <v>554</v>
      </c>
      <c r="G57" s="19"/>
      <c r="H57" s="20"/>
      <c r="I57" s="20"/>
      <c r="J57" s="20"/>
      <c r="K57" s="20"/>
      <c r="L57" s="20"/>
      <c r="M57" s="21"/>
    </row>
    <row r="58" spans="3:13">
      <c r="C58" s="73">
        <v>10881</v>
      </c>
      <c r="D58" s="9">
        <f>Table2[[#This Row],[New_Followers]]-Table2[[#This Row],[Unfollows]]</f>
        <v>1225</v>
      </c>
      <c r="G58" s="19"/>
      <c r="H58" s="20"/>
      <c r="I58" s="20"/>
      <c r="J58" s="20"/>
      <c r="K58" s="20"/>
      <c r="L58" s="20"/>
      <c r="M58" s="21"/>
    </row>
    <row r="59" spans="3:13">
      <c r="C59" s="73">
        <v>18576</v>
      </c>
      <c r="D59" s="9">
        <f>Table2[[#This Row],[New_Followers]]-Table2[[#This Row],[Unfollows]]</f>
        <v>892</v>
      </c>
      <c r="G59" s="19"/>
      <c r="H59" s="20"/>
      <c r="I59" s="20"/>
      <c r="J59" s="20"/>
      <c r="K59" s="20"/>
      <c r="L59" s="20"/>
      <c r="M59" s="21"/>
    </row>
    <row r="60" spans="3:13">
      <c r="C60" s="73">
        <v>9383</v>
      </c>
      <c r="D60" s="9">
        <f>Table2[[#This Row],[New_Followers]]-Table2[[#This Row],[Unfollows]]</f>
        <v>536</v>
      </c>
      <c r="G60" s="19"/>
      <c r="H60" s="20"/>
      <c r="I60" s="20"/>
      <c r="J60" s="20"/>
      <c r="K60" s="20"/>
      <c r="L60" s="20"/>
      <c r="M60" s="21"/>
    </row>
    <row r="61" spans="3:13" ht="15.75" thickBot="1">
      <c r="C61" s="73">
        <v>14178</v>
      </c>
      <c r="D61" s="9">
        <f>Table2[[#This Row],[New_Followers]]-Table2[[#This Row],[Unfollows]]</f>
        <v>1242</v>
      </c>
      <c r="G61" s="24"/>
      <c r="H61" s="25"/>
      <c r="I61" s="25"/>
      <c r="J61" s="25"/>
      <c r="K61" s="25"/>
      <c r="L61" s="25"/>
      <c r="M61" s="26"/>
    </row>
    <row r="62" spans="3:13">
      <c r="C62" s="73">
        <v>21254</v>
      </c>
      <c r="D62" s="9">
        <f>Table2[[#This Row],[New_Followers]]-Table2[[#This Row],[Unfollows]]</f>
        <v>948</v>
      </c>
    </row>
    <row r="63" spans="3:13">
      <c r="C63" s="73">
        <v>14215</v>
      </c>
      <c r="D63" s="9">
        <f>Table2[[#This Row],[New_Followers]]-Table2[[#This Row],[Unfollows]]</f>
        <v>762</v>
      </c>
    </row>
    <row r="64" spans="3:13">
      <c r="C64" s="73">
        <v>16921</v>
      </c>
      <c r="D64" s="9">
        <f>Table2[[#This Row],[New_Followers]]-Table2[[#This Row],[Unfollows]]</f>
        <v>1082</v>
      </c>
    </row>
    <row r="65" spans="3:4">
      <c r="C65" s="73">
        <v>25130</v>
      </c>
      <c r="D65" s="9">
        <f>Table2[[#This Row],[New_Followers]]-Table2[[#This Row],[Unfollows]]</f>
        <v>1174</v>
      </c>
    </row>
    <row r="66" spans="3:4">
      <c r="C66" s="73">
        <v>25537</v>
      </c>
      <c r="D66" s="9">
        <f>Table2[[#This Row],[New_Followers]]-Table2[[#This Row],[Unfollows]]</f>
        <v>464</v>
      </c>
    </row>
    <row r="67" spans="3:4">
      <c r="C67" s="73">
        <v>24943</v>
      </c>
      <c r="D67" s="9">
        <f>Table2[[#This Row],[New_Followers]]-Table2[[#This Row],[Unfollows]]</f>
        <v>543</v>
      </c>
    </row>
    <row r="68" spans="3:4">
      <c r="C68" s="73">
        <v>14563</v>
      </c>
      <c r="D68" s="9">
        <f>Table2[[#This Row],[New_Followers]]-Table2[[#This Row],[Unfollows]]</f>
        <v>1202</v>
      </c>
    </row>
    <row r="69" spans="3:4">
      <c r="C69" s="73">
        <v>26273</v>
      </c>
      <c r="D69" s="9">
        <f>Table2[[#This Row],[New_Followers]]-Table2[[#This Row],[Unfollows]]</f>
        <v>1390</v>
      </c>
    </row>
    <row r="70" spans="3:4">
      <c r="C70" s="73">
        <v>10858</v>
      </c>
      <c r="D70" s="9">
        <f>Table2[[#This Row],[New_Followers]]-Table2[[#This Row],[Unfollows]]</f>
        <v>984</v>
      </c>
    </row>
    <row r="71" spans="3:4">
      <c r="C71" s="73">
        <v>25038</v>
      </c>
      <c r="D71" s="9">
        <f>Table2[[#This Row],[New_Followers]]-Table2[[#This Row],[Unfollows]]</f>
        <v>1204</v>
      </c>
    </row>
    <row r="72" spans="3:4">
      <c r="C72" s="73">
        <v>9092</v>
      </c>
      <c r="D72" s="9">
        <f>Table2[[#This Row],[New_Followers]]-Table2[[#This Row],[Unfollows]]</f>
        <v>532</v>
      </c>
    </row>
    <row r="73" spans="3:4">
      <c r="C73" s="73">
        <v>17662</v>
      </c>
      <c r="D73" s="9">
        <f>Table2[[#This Row],[New_Followers]]-Table2[[#This Row],[Unfollows]]</f>
        <v>1058</v>
      </c>
    </row>
    <row r="74" spans="3:4">
      <c r="C74" s="73">
        <v>5924</v>
      </c>
      <c r="D74" s="9">
        <f>Table2[[#This Row],[New_Followers]]-Table2[[#This Row],[Unfollows]]</f>
        <v>676</v>
      </c>
    </row>
    <row r="75" spans="3:4">
      <c r="C75" s="73">
        <v>25347</v>
      </c>
      <c r="D75" s="9">
        <f>Table2[[#This Row],[New_Followers]]-Table2[[#This Row],[Unfollows]]</f>
        <v>577</v>
      </c>
    </row>
    <row r="76" spans="3:4">
      <c r="C76" s="73">
        <v>8910</v>
      </c>
      <c r="D76" s="9">
        <f>Table2[[#This Row],[New_Followers]]-Table2[[#This Row],[Unfollows]]</f>
        <v>682</v>
      </c>
    </row>
    <row r="77" spans="3:4">
      <c r="C77" s="73">
        <v>20438</v>
      </c>
      <c r="D77" s="9">
        <f>Table2[[#This Row],[New_Followers]]-Table2[[#This Row],[Unfollows]]</f>
        <v>450</v>
      </c>
    </row>
    <row r="78" spans="3:4">
      <c r="C78" s="73">
        <v>8760</v>
      </c>
      <c r="D78" s="9">
        <f>Table2[[#This Row],[New_Followers]]-Table2[[#This Row],[Unfollows]]</f>
        <v>683</v>
      </c>
    </row>
    <row r="79" spans="3:4">
      <c r="C79" s="73">
        <v>6625</v>
      </c>
      <c r="D79" s="9">
        <f>Table2[[#This Row],[New_Followers]]-Table2[[#This Row],[Unfollows]]</f>
        <v>1154</v>
      </c>
    </row>
    <row r="80" spans="3:4">
      <c r="C80" s="73">
        <v>23329</v>
      </c>
      <c r="D80" s="9">
        <f>Table2[[#This Row],[New_Followers]]-Table2[[#This Row],[Unfollows]]</f>
        <v>808</v>
      </c>
    </row>
    <row r="81" spans="3:4">
      <c r="C81" s="73">
        <v>7299</v>
      </c>
      <c r="D81" s="9">
        <f>Table2[[#This Row],[New_Followers]]-Table2[[#This Row],[Unfollows]]</f>
        <v>871</v>
      </c>
    </row>
    <row r="82" spans="3:4">
      <c r="C82" s="73">
        <v>14496</v>
      </c>
      <c r="D82" s="9">
        <f>Table2[[#This Row],[New_Followers]]-Table2[[#This Row],[Unfollows]]</f>
        <v>704</v>
      </c>
    </row>
    <row r="83" spans="3:4">
      <c r="C83" s="73">
        <v>25703</v>
      </c>
      <c r="D83" s="9">
        <f>Table2[[#This Row],[New_Followers]]-Table2[[#This Row],[Unfollows]]</f>
        <v>611</v>
      </c>
    </row>
    <row r="84" spans="3:4">
      <c r="C84" s="73">
        <v>15108</v>
      </c>
      <c r="D84" s="9">
        <f>Table2[[#This Row],[New_Followers]]-Table2[[#This Row],[Unfollows]]</f>
        <v>405</v>
      </c>
    </row>
    <row r="85" spans="3:4">
      <c r="C85" s="73">
        <v>18867</v>
      </c>
      <c r="D85" s="9">
        <f>Table2[[#This Row],[New_Followers]]-Table2[[#This Row],[Unfollows]]</f>
        <v>382</v>
      </c>
    </row>
    <row r="86" spans="3:4">
      <c r="C86" s="73">
        <v>17574</v>
      </c>
      <c r="D86" s="9">
        <f>Table2[[#This Row],[New_Followers]]-Table2[[#This Row],[Unfollows]]</f>
        <v>1117</v>
      </c>
    </row>
    <row r="87" spans="3:4">
      <c r="C87" s="73">
        <v>12840</v>
      </c>
      <c r="D87" s="9">
        <f>Table2[[#This Row],[New_Followers]]-Table2[[#This Row],[Unfollows]]</f>
        <v>477</v>
      </c>
    </row>
    <row r="88" spans="3:4">
      <c r="C88" s="73">
        <v>21079</v>
      </c>
      <c r="D88" s="9">
        <f>Table2[[#This Row],[New_Followers]]-Table2[[#This Row],[Unfollows]]</f>
        <v>1099</v>
      </c>
    </row>
    <row r="89" spans="3:4">
      <c r="C89" s="73">
        <v>23486</v>
      </c>
      <c r="D89" s="9">
        <f>Table2[[#This Row],[New_Followers]]-Table2[[#This Row],[Unfollows]]</f>
        <v>567</v>
      </c>
    </row>
    <row r="90" spans="3:4">
      <c r="C90" s="73">
        <v>5960</v>
      </c>
      <c r="D90" s="9">
        <f>Table2[[#This Row],[New_Followers]]-Table2[[#This Row],[Unfollows]]</f>
        <v>1133</v>
      </c>
    </row>
    <row r="91" spans="3:4">
      <c r="C91" s="73">
        <v>13301</v>
      </c>
      <c r="D91" s="9">
        <f>Table2[[#This Row],[New_Followers]]-Table2[[#This Row],[Unfollows]]</f>
        <v>850</v>
      </c>
    </row>
    <row r="92" spans="3:4">
      <c r="C92" s="73">
        <v>10563</v>
      </c>
      <c r="D92" s="9">
        <f>Table2[[#This Row],[New_Followers]]-Table2[[#This Row],[Unfollows]]</f>
        <v>413</v>
      </c>
    </row>
    <row r="93" spans="3:4">
      <c r="C93" s="73">
        <v>19949</v>
      </c>
      <c r="D93" s="9">
        <f>Table2[[#This Row],[New_Followers]]-Table2[[#This Row],[Unfollows]]</f>
        <v>1387</v>
      </c>
    </row>
    <row r="94" spans="3:4">
      <c r="C94" s="73">
        <v>14273</v>
      </c>
      <c r="D94" s="9">
        <f>Table2[[#This Row],[New_Followers]]-Table2[[#This Row],[Unfollows]]</f>
        <v>537</v>
      </c>
    </row>
    <row r="95" spans="3:4">
      <c r="C95" s="73">
        <v>9247</v>
      </c>
      <c r="D95" s="9">
        <f>Table2[[#This Row],[New_Followers]]-Table2[[#This Row],[Unfollows]]</f>
        <v>443</v>
      </c>
    </row>
    <row r="96" spans="3:4">
      <c r="C96" s="73">
        <v>11972</v>
      </c>
      <c r="D96" s="9">
        <f>Table2[[#This Row],[New_Followers]]-Table2[[#This Row],[Unfollows]]</f>
        <v>1283</v>
      </c>
    </row>
    <row r="97" spans="3:4">
      <c r="C97" s="73">
        <v>13314</v>
      </c>
      <c r="D97" s="9">
        <f>Table2[[#This Row],[New_Followers]]-Table2[[#This Row],[Unfollows]]</f>
        <v>725</v>
      </c>
    </row>
    <row r="98" spans="3:4">
      <c r="C98" s="73">
        <v>14749</v>
      </c>
      <c r="D98" s="9">
        <f>Table2[[#This Row],[New_Followers]]-Table2[[#This Row],[Unfollows]]</f>
        <v>467</v>
      </c>
    </row>
    <row r="99" spans="3:4">
      <c r="C99" s="73">
        <v>6868</v>
      </c>
      <c r="D99" s="9">
        <f>Table2[[#This Row],[New_Followers]]-Table2[[#This Row],[Unfollows]]</f>
        <v>1354</v>
      </c>
    </row>
    <row r="100" spans="3:4">
      <c r="C100" s="73">
        <v>6027</v>
      </c>
      <c r="D100" s="9">
        <f>Table2[[#This Row],[New_Followers]]-Table2[[#This Row],[Unfollows]]</f>
        <v>520</v>
      </c>
    </row>
    <row r="101" spans="3:4">
      <c r="C101" s="73">
        <v>25267</v>
      </c>
      <c r="D101" s="9">
        <f>Table2[[#This Row],[New_Followers]]-Table2[[#This Row],[Unfollows]]</f>
        <v>442</v>
      </c>
    </row>
    <row r="102" spans="3:4">
      <c r="C102" s="73">
        <v>5900</v>
      </c>
      <c r="D102" s="9">
        <f>Table2[[#This Row],[New_Followers]]-Table2[[#This Row],[Unfollows]]</f>
        <v>546</v>
      </c>
    </row>
    <row r="103" spans="3:4">
      <c r="C103" s="73">
        <v>11181</v>
      </c>
      <c r="D103" s="9">
        <f>Table2[[#This Row],[New_Followers]]-Table2[[#This Row],[Unfollows]]</f>
        <v>844</v>
      </c>
    </row>
    <row r="104" spans="3:4">
      <c r="C104" s="73">
        <v>9592</v>
      </c>
      <c r="D104" s="9">
        <f>Table2[[#This Row],[New_Followers]]-Table2[[#This Row],[Unfollows]]</f>
        <v>341</v>
      </c>
    </row>
    <row r="105" spans="3:4">
      <c r="C105" s="73">
        <v>5291</v>
      </c>
      <c r="D105" s="9">
        <f>Table2[[#This Row],[New_Followers]]-Table2[[#This Row],[Unfollows]]</f>
        <v>869</v>
      </c>
    </row>
    <row r="106" spans="3:4">
      <c r="C106" s="73">
        <v>22244</v>
      </c>
      <c r="D106" s="9">
        <f>Table2[[#This Row],[New_Followers]]-Table2[[#This Row],[Unfollows]]</f>
        <v>718</v>
      </c>
    </row>
    <row r="107" spans="3:4">
      <c r="C107" s="73">
        <v>6824</v>
      </c>
      <c r="D107" s="9">
        <f>Table2[[#This Row],[New_Followers]]-Table2[[#This Row],[Unfollows]]</f>
        <v>735</v>
      </c>
    </row>
    <row r="108" spans="3:4">
      <c r="C108" s="73">
        <v>24112</v>
      </c>
      <c r="D108" s="9">
        <f>Table2[[#This Row],[New_Followers]]-Table2[[#This Row],[Unfollows]]</f>
        <v>523</v>
      </c>
    </row>
    <row r="109" spans="3:4">
      <c r="C109" s="73">
        <v>25478</v>
      </c>
      <c r="D109" s="9">
        <f>Table2[[#This Row],[New_Followers]]-Table2[[#This Row],[Unfollows]]</f>
        <v>422</v>
      </c>
    </row>
    <row r="110" spans="3:4">
      <c r="C110" s="73">
        <v>11235</v>
      </c>
      <c r="D110" s="9">
        <f>Table2[[#This Row],[New_Followers]]-Table2[[#This Row],[Unfollows]]</f>
        <v>915</v>
      </c>
    </row>
    <row r="111" spans="3:4">
      <c r="C111" s="73">
        <v>6120</v>
      </c>
      <c r="D111" s="9">
        <f>Table2[[#This Row],[New_Followers]]-Table2[[#This Row],[Unfollows]]</f>
        <v>1108</v>
      </c>
    </row>
    <row r="112" spans="3:4">
      <c r="C112" s="73">
        <v>20572</v>
      </c>
      <c r="D112" s="9">
        <f>Table2[[#This Row],[New_Followers]]-Table2[[#This Row],[Unfollows]]</f>
        <v>338</v>
      </c>
    </row>
    <row r="113" spans="3:4">
      <c r="C113" s="73">
        <v>14975</v>
      </c>
      <c r="D113" s="9">
        <f>Table2[[#This Row],[New_Followers]]-Table2[[#This Row],[Unfollows]]</f>
        <v>724</v>
      </c>
    </row>
    <row r="114" spans="3:4">
      <c r="C114" s="73">
        <v>22234</v>
      </c>
      <c r="D114" s="9">
        <f>Table2[[#This Row],[New_Followers]]-Table2[[#This Row],[Unfollows]]</f>
        <v>463</v>
      </c>
    </row>
    <row r="115" spans="3:4">
      <c r="C115" s="73">
        <v>6532</v>
      </c>
      <c r="D115" s="9">
        <f>Table2[[#This Row],[New_Followers]]-Table2[[#This Row],[Unfollows]]</f>
        <v>356</v>
      </c>
    </row>
    <row r="116" spans="3:4">
      <c r="C116" s="73">
        <v>24858</v>
      </c>
      <c r="D116" s="9">
        <f>Table2[[#This Row],[New_Followers]]-Table2[[#This Row],[Unfollows]]</f>
        <v>378</v>
      </c>
    </row>
    <row r="117" spans="3:4">
      <c r="C117" s="73">
        <v>13883</v>
      </c>
      <c r="D117" s="9">
        <f>Table2[[#This Row],[New_Followers]]-Table2[[#This Row],[Unfollows]]</f>
        <v>636</v>
      </c>
    </row>
    <row r="118" spans="3:4">
      <c r="C118" s="73">
        <v>18654</v>
      </c>
      <c r="D118" s="9">
        <f>Table2[[#This Row],[New_Followers]]-Table2[[#This Row],[Unfollows]]</f>
        <v>699</v>
      </c>
    </row>
    <row r="119" spans="3:4">
      <c r="C119" s="73">
        <v>25234</v>
      </c>
      <c r="D119" s="9">
        <f>Table2[[#This Row],[New_Followers]]-Table2[[#This Row],[Unfollows]]</f>
        <v>1279</v>
      </c>
    </row>
    <row r="120" spans="3:4">
      <c r="C120" s="73">
        <v>6772</v>
      </c>
      <c r="D120" s="9">
        <f>Table2[[#This Row],[New_Followers]]-Table2[[#This Row],[Unfollows]]</f>
        <v>1006</v>
      </c>
    </row>
    <row r="121" spans="3:4">
      <c r="C121" s="73">
        <v>22428</v>
      </c>
      <c r="D121" s="9">
        <f>Table2[[#This Row],[New_Followers]]-Table2[[#This Row],[Unfollows]]</f>
        <v>478</v>
      </c>
    </row>
    <row r="122" spans="3:4">
      <c r="C122" s="73">
        <v>11911</v>
      </c>
      <c r="D122" s="9">
        <f>Table2[[#This Row],[New_Followers]]-Table2[[#This Row],[Unfollows]]</f>
        <v>545</v>
      </c>
    </row>
    <row r="123" spans="3:4">
      <c r="C123" s="73">
        <v>21900</v>
      </c>
      <c r="D123" s="9">
        <f>Table2[[#This Row],[New_Followers]]-Table2[[#This Row],[Unfollows]]</f>
        <v>1005</v>
      </c>
    </row>
    <row r="124" spans="3:4">
      <c r="C124" s="73">
        <v>25542</v>
      </c>
      <c r="D124" s="9">
        <f>Table2[[#This Row],[New_Followers]]-Table2[[#This Row],[Unfollows]]</f>
        <v>765</v>
      </c>
    </row>
    <row r="125" spans="3:4">
      <c r="C125" s="73">
        <v>7140</v>
      </c>
      <c r="D125" s="9">
        <f>Table2[[#This Row],[New_Followers]]-Table2[[#This Row],[Unfollows]]</f>
        <v>564</v>
      </c>
    </row>
    <row r="126" spans="3:4">
      <c r="C126" s="73">
        <v>20474</v>
      </c>
      <c r="D126" s="9">
        <f>Table2[[#This Row],[New_Followers]]-Table2[[#This Row],[Unfollows]]</f>
        <v>496</v>
      </c>
    </row>
    <row r="127" spans="3:4">
      <c r="C127" s="73">
        <v>8698</v>
      </c>
      <c r="D127" s="9">
        <f>Table2[[#This Row],[New_Followers]]-Table2[[#This Row],[Unfollows]]</f>
        <v>1128</v>
      </c>
    </row>
    <row r="128" spans="3:4">
      <c r="C128" s="73">
        <v>10402</v>
      </c>
      <c r="D128" s="9">
        <f>Table2[[#This Row],[New_Followers]]-Table2[[#This Row],[Unfollows]]</f>
        <v>565</v>
      </c>
    </row>
    <row r="129" spans="3:4">
      <c r="C129" s="73">
        <v>26618</v>
      </c>
      <c r="D129" s="9">
        <f>Table2[[#This Row],[New_Followers]]-Table2[[#This Row],[Unfollows]]</f>
        <v>813</v>
      </c>
    </row>
    <row r="130" spans="3:4">
      <c r="C130" s="73">
        <v>7975</v>
      </c>
      <c r="D130" s="9">
        <f>Table2[[#This Row],[New_Followers]]-Table2[[#This Row],[Unfollows]]</f>
        <v>1301</v>
      </c>
    </row>
    <row r="131" spans="3:4">
      <c r="C131" s="73">
        <v>19054</v>
      </c>
      <c r="D131" s="9">
        <f>Table2[[#This Row],[New_Followers]]-Table2[[#This Row],[Unfollows]]</f>
        <v>436</v>
      </c>
    </row>
    <row r="132" spans="3:4">
      <c r="C132" s="73">
        <v>13740</v>
      </c>
      <c r="D132" s="9">
        <f>Table2[[#This Row],[New_Followers]]-Table2[[#This Row],[Unfollows]]</f>
        <v>978</v>
      </c>
    </row>
    <row r="133" spans="3:4">
      <c r="C133" s="73">
        <v>18442</v>
      </c>
      <c r="D133" s="9">
        <f>Table2[[#This Row],[New_Followers]]-Table2[[#This Row],[Unfollows]]</f>
        <v>1367</v>
      </c>
    </row>
    <row r="134" spans="3:4">
      <c r="C134" s="73">
        <v>10104</v>
      </c>
      <c r="D134" s="9">
        <f>Table2[[#This Row],[New_Followers]]-Table2[[#This Row],[Unfollows]]</f>
        <v>1337</v>
      </c>
    </row>
    <row r="135" spans="3:4">
      <c r="C135" s="73">
        <v>21771</v>
      </c>
      <c r="D135" s="9">
        <f>Table2[[#This Row],[New_Followers]]-Table2[[#This Row],[Unfollows]]</f>
        <v>1014</v>
      </c>
    </row>
    <row r="136" spans="3:4">
      <c r="C136" s="73">
        <v>22191</v>
      </c>
      <c r="D136" s="9">
        <f>Table2[[#This Row],[New_Followers]]-Table2[[#This Row],[Unfollows]]</f>
        <v>940</v>
      </c>
    </row>
    <row r="137" spans="3:4">
      <c r="C137" s="73">
        <v>27753</v>
      </c>
      <c r="D137" s="9">
        <f>Table2[[#This Row],[New_Followers]]-Table2[[#This Row],[Unfollows]]</f>
        <v>690</v>
      </c>
    </row>
    <row r="138" spans="3:4">
      <c r="C138" s="73">
        <v>23736</v>
      </c>
      <c r="D138" s="9">
        <f>Table2[[#This Row],[New_Followers]]-Table2[[#This Row],[Unfollows]]</f>
        <v>1335</v>
      </c>
    </row>
    <row r="139" spans="3:4">
      <c r="C139" s="73">
        <v>27393</v>
      </c>
      <c r="D139" s="9">
        <f>Table2[[#This Row],[New_Followers]]-Table2[[#This Row],[Unfollows]]</f>
        <v>1191</v>
      </c>
    </row>
    <row r="140" spans="3:4">
      <c r="C140" s="73">
        <v>10343</v>
      </c>
      <c r="D140" s="9">
        <f>Table2[[#This Row],[New_Followers]]-Table2[[#This Row],[Unfollows]]</f>
        <v>353</v>
      </c>
    </row>
    <row r="141" spans="3:4">
      <c r="C141" s="73">
        <v>25259</v>
      </c>
      <c r="D141" s="9">
        <f>Table2[[#This Row],[New_Followers]]-Table2[[#This Row],[Unfollows]]</f>
        <v>486</v>
      </c>
    </row>
    <row r="142" spans="3:4">
      <c r="C142" s="73">
        <v>24827</v>
      </c>
      <c r="D142" s="9">
        <f>Table2[[#This Row],[New_Followers]]-Table2[[#This Row],[Unfollows]]</f>
        <v>889</v>
      </c>
    </row>
    <row r="143" spans="3:4">
      <c r="C143" s="73">
        <v>11908</v>
      </c>
      <c r="D143" s="9">
        <f>Table2[[#This Row],[New_Followers]]-Table2[[#This Row],[Unfollows]]</f>
        <v>983</v>
      </c>
    </row>
    <row r="144" spans="3:4">
      <c r="C144" s="73">
        <v>11005</v>
      </c>
      <c r="D144" s="9">
        <f>Table2[[#This Row],[New_Followers]]-Table2[[#This Row],[Unfollows]]</f>
        <v>581</v>
      </c>
    </row>
    <row r="145" spans="3:4">
      <c r="C145" s="73">
        <v>26333</v>
      </c>
      <c r="D145" s="9">
        <f>Table2[[#This Row],[New_Followers]]-Table2[[#This Row],[Unfollows]]</f>
        <v>814</v>
      </c>
    </row>
    <row r="146" spans="3:4">
      <c r="C146" s="73">
        <v>5495</v>
      </c>
      <c r="D146" s="9">
        <f>Table2[[#This Row],[New_Followers]]-Table2[[#This Row],[Unfollows]]</f>
        <v>0</v>
      </c>
    </row>
    <row r="147" spans="3:4">
      <c r="C147" s="73">
        <v>15655</v>
      </c>
      <c r="D147" s="9">
        <f>Table2[[#This Row],[New_Followers]]-Table2[[#This Row],[Unfollows]]</f>
        <v>676</v>
      </c>
    </row>
    <row r="148" spans="3:4">
      <c r="C148" s="73">
        <v>13763</v>
      </c>
      <c r="D148" s="9">
        <f>Table2[[#This Row],[New_Followers]]-Table2[[#This Row],[Unfollows]]</f>
        <v>459</v>
      </c>
    </row>
    <row r="149" spans="3:4">
      <c r="C149" s="73">
        <v>26073</v>
      </c>
      <c r="D149" s="9">
        <f>Table2[[#This Row],[New_Followers]]-Table2[[#This Row],[Unfollows]]</f>
        <v>576</v>
      </c>
    </row>
    <row r="150" spans="3:4">
      <c r="C150" s="73">
        <v>12774</v>
      </c>
      <c r="D150" s="9">
        <f>Table2[[#This Row],[New_Followers]]-Table2[[#This Row],[Unfollows]]</f>
        <v>447</v>
      </c>
    </row>
    <row r="151" spans="3:4">
      <c r="C151" s="73">
        <v>19000</v>
      </c>
      <c r="D151" s="9">
        <f>Table2[[#This Row],[New_Followers]]-Table2[[#This Row],[Unfollows]]</f>
        <v>377</v>
      </c>
    </row>
    <row r="152" spans="3:4">
      <c r="C152" s="73">
        <v>14051</v>
      </c>
      <c r="D152" s="9">
        <f>Table2[[#This Row],[New_Followers]]-Table2[[#This Row],[Unfollows]]</f>
        <v>932</v>
      </c>
    </row>
    <row r="153" spans="3:4">
      <c r="C153" s="73">
        <v>27782</v>
      </c>
      <c r="D153" s="9">
        <f>Table2[[#This Row],[New_Followers]]-Table2[[#This Row],[Unfollows]]</f>
        <v>1356</v>
      </c>
    </row>
    <row r="154" spans="3:4">
      <c r="C154" s="73">
        <v>7859</v>
      </c>
      <c r="D154" s="9">
        <f>Table2[[#This Row],[New_Followers]]-Table2[[#This Row],[Unfollows]]</f>
        <v>1281</v>
      </c>
    </row>
    <row r="155" spans="3:4">
      <c r="C155" s="73">
        <v>15773</v>
      </c>
      <c r="D155" s="9">
        <f>Table2[[#This Row],[New_Followers]]-Table2[[#This Row],[Unfollows]]</f>
        <v>1041</v>
      </c>
    </row>
    <row r="156" spans="3:4">
      <c r="C156" s="73">
        <v>20595</v>
      </c>
      <c r="D156" s="9">
        <f>Table2[[#This Row],[New_Followers]]-Table2[[#This Row],[Unfollows]]</f>
        <v>1184</v>
      </c>
    </row>
    <row r="157" spans="3:4">
      <c r="C157" s="73">
        <v>12031</v>
      </c>
      <c r="D157" s="9">
        <f>Table2[[#This Row],[New_Followers]]-Table2[[#This Row],[Unfollows]]</f>
        <v>684</v>
      </c>
    </row>
    <row r="158" spans="3:4">
      <c r="C158" s="73">
        <v>15128</v>
      </c>
      <c r="D158" s="9">
        <f>Table2[[#This Row],[New_Followers]]-Table2[[#This Row],[Unfollows]]</f>
        <v>354</v>
      </c>
    </row>
    <row r="159" spans="3:4">
      <c r="C159" s="73">
        <v>11826</v>
      </c>
      <c r="D159" s="9">
        <f>Table2[[#This Row],[New_Followers]]-Table2[[#This Row],[Unfollows]]</f>
        <v>1126</v>
      </c>
    </row>
    <row r="160" spans="3:4">
      <c r="C160" s="73">
        <v>12562</v>
      </c>
      <c r="D160" s="9">
        <f>Table2[[#This Row],[New_Followers]]-Table2[[#This Row],[Unfollows]]</f>
        <v>569</v>
      </c>
    </row>
    <row r="161" spans="3:4">
      <c r="C161" s="73">
        <v>13013</v>
      </c>
      <c r="D161" s="9">
        <f>Table2[[#This Row],[New_Followers]]-Table2[[#This Row],[Unfollows]]</f>
        <v>730</v>
      </c>
    </row>
    <row r="162" spans="3:4">
      <c r="C162" s="73">
        <v>12937</v>
      </c>
      <c r="D162" s="9">
        <f>Table2[[#This Row],[New_Followers]]-Table2[[#This Row],[Unfollows]]</f>
        <v>578</v>
      </c>
    </row>
    <row r="163" spans="3:4">
      <c r="C163" s="73">
        <v>14534</v>
      </c>
      <c r="D163" s="9">
        <f>Table2[[#This Row],[New_Followers]]-Table2[[#This Row],[Unfollows]]</f>
        <v>935</v>
      </c>
    </row>
    <row r="164" spans="3:4">
      <c r="C164" s="73">
        <v>8182</v>
      </c>
      <c r="D164" s="9">
        <f>Table2[[#This Row],[New_Followers]]-Table2[[#This Row],[Unfollows]]</f>
        <v>698</v>
      </c>
    </row>
    <row r="165" spans="3:4">
      <c r="C165" s="73">
        <v>10615</v>
      </c>
      <c r="D165" s="9">
        <f>Table2[[#This Row],[New_Followers]]-Table2[[#This Row],[Unfollows]]</f>
        <v>325</v>
      </c>
    </row>
    <row r="166" spans="3:4">
      <c r="C166" s="73">
        <v>20109</v>
      </c>
      <c r="D166" s="9">
        <f>Table2[[#This Row],[New_Followers]]-Table2[[#This Row],[Unfollows]]</f>
        <v>994</v>
      </c>
    </row>
    <row r="167" spans="3:4">
      <c r="C167" s="73">
        <v>26024</v>
      </c>
      <c r="D167" s="9">
        <f>Table2[[#This Row],[New_Followers]]-Table2[[#This Row],[Unfollows]]</f>
        <v>320</v>
      </c>
    </row>
    <row r="168" spans="3:4">
      <c r="C168" s="73">
        <v>26730</v>
      </c>
      <c r="D168" s="9">
        <f>Table2[[#This Row],[New_Followers]]-Table2[[#This Row],[Unfollows]]</f>
        <v>544</v>
      </c>
    </row>
    <row r="169" spans="3:4">
      <c r="C169" s="73">
        <v>10563</v>
      </c>
      <c r="D169" s="9">
        <f>Table2[[#This Row],[New_Followers]]-Table2[[#This Row],[Unfollows]]</f>
        <v>520</v>
      </c>
    </row>
    <row r="170" spans="3:4">
      <c r="C170" s="73">
        <v>27575</v>
      </c>
      <c r="D170" s="9">
        <f>Table2[[#This Row],[New_Followers]]-Table2[[#This Row],[Unfollows]]</f>
        <v>485</v>
      </c>
    </row>
    <row r="171" spans="3:4">
      <c r="C171" s="73">
        <v>14479</v>
      </c>
      <c r="D171" s="9">
        <f>Table2[[#This Row],[New_Followers]]-Table2[[#This Row],[Unfollows]]</f>
        <v>1234</v>
      </c>
    </row>
    <row r="172" spans="3:4">
      <c r="C172" s="73">
        <v>15915</v>
      </c>
      <c r="D172" s="9">
        <f>Table2[[#This Row],[New_Followers]]-Table2[[#This Row],[Unfollows]]</f>
        <v>596</v>
      </c>
    </row>
    <row r="173" spans="3:4">
      <c r="C173" s="73">
        <v>12767</v>
      </c>
      <c r="D173" s="9">
        <f>Table2[[#This Row],[New_Followers]]-Table2[[#This Row],[Unfollows]]</f>
        <v>831</v>
      </c>
    </row>
    <row r="174" spans="3:4">
      <c r="C174" s="73">
        <v>12170</v>
      </c>
      <c r="D174" s="9">
        <f>Table2[[#This Row],[New_Followers]]-Table2[[#This Row],[Unfollows]]</f>
        <v>1033</v>
      </c>
    </row>
    <row r="175" spans="3:4">
      <c r="C175" s="73">
        <v>7245</v>
      </c>
      <c r="D175" s="9">
        <f>Table2[[#This Row],[New_Followers]]-Table2[[#This Row],[Unfollows]]</f>
        <v>805</v>
      </c>
    </row>
    <row r="176" spans="3:4">
      <c r="C176" s="73">
        <v>12985</v>
      </c>
      <c r="D176" s="9">
        <f>Table2[[#This Row],[New_Followers]]-Table2[[#This Row],[Unfollows]]</f>
        <v>1274</v>
      </c>
    </row>
    <row r="177" spans="3:4">
      <c r="C177" s="73">
        <v>16377</v>
      </c>
      <c r="D177" s="9">
        <f>Table2[[#This Row],[New_Followers]]-Table2[[#This Row],[Unfollows]]</f>
        <v>428</v>
      </c>
    </row>
    <row r="178" spans="3:4">
      <c r="C178" s="73">
        <v>11453</v>
      </c>
      <c r="D178" s="9">
        <f>Table2[[#This Row],[New_Followers]]-Table2[[#This Row],[Unfollows]]</f>
        <v>952</v>
      </c>
    </row>
    <row r="179" spans="3:4">
      <c r="C179" s="73">
        <v>12323</v>
      </c>
      <c r="D179" s="9">
        <f>Table2[[#This Row],[New_Followers]]-Table2[[#This Row],[Unfollows]]</f>
        <v>951</v>
      </c>
    </row>
    <row r="180" spans="3:4">
      <c r="C180" s="73">
        <v>11911</v>
      </c>
      <c r="D180" s="9">
        <f>Table2[[#This Row],[New_Followers]]-Table2[[#This Row],[Unfollows]]</f>
        <v>604</v>
      </c>
    </row>
    <row r="181" spans="3:4">
      <c r="C181" s="73">
        <v>27809</v>
      </c>
      <c r="D181" s="9">
        <f>Table2[[#This Row],[New_Followers]]-Table2[[#This Row],[Unfollows]]</f>
        <v>1139</v>
      </c>
    </row>
    <row r="182" spans="3:4">
      <c r="C182" s="73">
        <v>21464</v>
      </c>
      <c r="D182" s="9">
        <f>Table2[[#This Row],[New_Followers]]-Table2[[#This Row],[Unfollows]]</f>
        <v>567</v>
      </c>
    </row>
    <row r="183" spans="3:4">
      <c r="C183" s="73">
        <v>27126</v>
      </c>
      <c r="D183" s="9">
        <f>Table2[[#This Row],[New_Followers]]-Table2[[#This Row],[Unfollows]]</f>
        <v>1282</v>
      </c>
    </row>
    <row r="184" spans="3:4">
      <c r="C184" s="73">
        <v>10681</v>
      </c>
      <c r="D184" s="9">
        <f>Table2[[#This Row],[New_Followers]]-Table2[[#This Row],[Unfollows]]</f>
        <v>1387</v>
      </c>
    </row>
    <row r="185" spans="3:4">
      <c r="C185" s="73">
        <v>5413</v>
      </c>
      <c r="D185" s="9">
        <f>Table2[[#This Row],[New_Followers]]-Table2[[#This Row],[Unfollows]]</f>
        <v>667</v>
      </c>
    </row>
    <row r="186" spans="3:4">
      <c r="C186" s="73">
        <v>25058</v>
      </c>
      <c r="D186" s="9">
        <f>Table2[[#This Row],[New_Followers]]-Table2[[#This Row],[Unfollows]]</f>
        <v>499</v>
      </c>
    </row>
    <row r="187" spans="3:4">
      <c r="C187" s="73">
        <v>18303</v>
      </c>
      <c r="D187" s="9">
        <f>Table2[[#This Row],[New_Followers]]-Table2[[#This Row],[Unfollows]]</f>
        <v>523</v>
      </c>
    </row>
    <row r="188" spans="3:4">
      <c r="C188" s="73">
        <v>5526</v>
      </c>
      <c r="D188" s="9">
        <f>Table2[[#This Row],[New_Followers]]-Table2[[#This Row],[Unfollows]]</f>
        <v>896</v>
      </c>
    </row>
    <row r="189" spans="3:4">
      <c r="C189" s="73">
        <v>17460</v>
      </c>
      <c r="D189" s="9">
        <f>Table2[[#This Row],[New_Followers]]-Table2[[#This Row],[Unfollows]]</f>
        <v>702</v>
      </c>
    </row>
    <row r="190" spans="3:4">
      <c r="C190" s="73">
        <v>14475</v>
      </c>
      <c r="D190" s="9">
        <f>Table2[[#This Row],[New_Followers]]-Table2[[#This Row],[Unfollows]]</f>
        <v>749</v>
      </c>
    </row>
    <row r="191" spans="3:4">
      <c r="C191" s="73">
        <v>20162</v>
      </c>
      <c r="D191" s="9">
        <f>Table2[[#This Row],[New_Followers]]-Table2[[#This Row],[Unfollows]]</f>
        <v>333</v>
      </c>
    </row>
    <row r="192" spans="3:4">
      <c r="C192" s="73">
        <v>17103</v>
      </c>
      <c r="D192" s="9">
        <f>Table2[[#This Row],[New_Followers]]-Table2[[#This Row],[Unfollows]]</f>
        <v>647</v>
      </c>
    </row>
    <row r="193" spans="3:4">
      <c r="C193" s="73">
        <v>15461</v>
      </c>
      <c r="D193" s="9">
        <f>Table2[[#This Row],[New_Followers]]-Table2[[#This Row],[Unfollows]]</f>
        <v>839</v>
      </c>
    </row>
    <row r="194" spans="3:4">
      <c r="C194" s="73">
        <v>22103</v>
      </c>
      <c r="D194" s="9">
        <f>Table2[[#This Row],[New_Followers]]-Table2[[#This Row],[Unfollows]]</f>
        <v>960</v>
      </c>
    </row>
    <row r="195" spans="3:4">
      <c r="C195" s="73">
        <v>11625</v>
      </c>
      <c r="D195" s="9">
        <f>Table2[[#This Row],[New_Followers]]-Table2[[#This Row],[Unfollows]]</f>
        <v>1168</v>
      </c>
    </row>
    <row r="196" spans="3:4">
      <c r="C196" s="73">
        <v>5281</v>
      </c>
      <c r="D196" s="9">
        <f>Table2[[#This Row],[New_Followers]]-Table2[[#This Row],[Unfollows]]</f>
        <v>518</v>
      </c>
    </row>
    <row r="197" spans="3:4">
      <c r="C197" s="73">
        <v>13424</v>
      </c>
      <c r="D197" s="9">
        <f>Table2[[#This Row],[New_Followers]]-Table2[[#This Row],[Unfollows]]</f>
        <v>872</v>
      </c>
    </row>
    <row r="198" spans="3:4">
      <c r="C198" s="73">
        <v>13140</v>
      </c>
      <c r="D198" s="9">
        <f>Table2[[#This Row],[New_Followers]]-Table2[[#This Row],[Unfollows]]</f>
        <v>302</v>
      </c>
    </row>
    <row r="199" spans="3:4">
      <c r="C199" s="73">
        <v>19538</v>
      </c>
      <c r="D199" s="9">
        <f>Table2[[#This Row],[New_Followers]]-Table2[[#This Row],[Unfollows]]</f>
        <v>250</v>
      </c>
    </row>
    <row r="200" spans="3:4">
      <c r="C200" s="73">
        <v>7881</v>
      </c>
      <c r="D200" s="9">
        <f>Table2[[#This Row],[New_Followers]]-Table2[[#This Row],[Unfollows]]</f>
        <v>820</v>
      </c>
    </row>
    <row r="201" spans="3:4">
      <c r="C201" s="73">
        <v>11418</v>
      </c>
      <c r="D201" s="9">
        <f>Table2[[#This Row],[New_Followers]]-Table2[[#This Row],[Unfollows]]</f>
        <v>616</v>
      </c>
    </row>
  </sheetData>
  <mergeCells count="3">
    <mergeCell ref="G2:J3"/>
    <mergeCell ref="G35:M36"/>
    <mergeCell ref="G12:M13"/>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4C57-D93E-4E18-83FE-9F8DE380AB75}">
  <sheetPr codeName="Sheet12"/>
  <dimension ref="A1"/>
  <sheetViews>
    <sheetView showGridLines="0" tabSelected="1" topLeftCell="A7" zoomScaleNormal="100" workbookViewId="0">
      <selection activeCell="A2" sqref="A2"/>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3D82-AC66-4BF2-A962-E57402BF200E}">
  <sheetPr codeName="Sheet4"/>
  <dimension ref="B7:I24"/>
  <sheetViews>
    <sheetView zoomScale="90" zoomScaleNormal="90" workbookViewId="0">
      <selection activeCell="F48" sqref="F48"/>
    </sheetView>
  </sheetViews>
  <sheetFormatPr defaultRowHeight="15"/>
  <cols>
    <col min="2" max="2" width="24.140625" bestFit="1" customWidth="1"/>
    <col min="3" max="3" width="13.28515625" bestFit="1" customWidth="1"/>
    <col min="4" max="4" width="12.85546875" bestFit="1" customWidth="1"/>
    <col min="5" max="5" width="14.42578125" bestFit="1" customWidth="1"/>
    <col min="6" max="6" width="18.28515625" bestFit="1" customWidth="1"/>
    <col min="7" max="8" width="13.28515625" bestFit="1" customWidth="1"/>
    <col min="9" max="9" width="22.140625" bestFit="1" customWidth="1"/>
    <col min="10" max="10" width="13.28515625" bestFit="1" customWidth="1"/>
    <col min="11" max="11" width="24.5703125" bestFit="1" customWidth="1"/>
    <col min="12" max="12" width="13.28515625" bestFit="1" customWidth="1"/>
    <col min="13" max="13" width="24.5703125" bestFit="1" customWidth="1"/>
    <col min="14" max="14" width="22.42578125" bestFit="1" customWidth="1"/>
    <col min="15" max="15" width="23.85546875" bestFit="1" customWidth="1"/>
    <col min="16" max="17" width="12" bestFit="1" customWidth="1"/>
    <col min="18" max="18" width="11" bestFit="1" customWidth="1"/>
    <col min="19" max="31" width="12" bestFit="1" customWidth="1"/>
    <col min="32" max="32" width="11" bestFit="1" customWidth="1"/>
    <col min="33" max="41" width="12" bestFit="1" customWidth="1"/>
    <col min="42" max="43" width="11" bestFit="1" customWidth="1"/>
    <col min="44" max="50" width="12" bestFit="1" customWidth="1"/>
    <col min="51" max="51" width="11" bestFit="1" customWidth="1"/>
    <col min="52" max="55" width="12" bestFit="1" customWidth="1"/>
    <col min="56" max="56" width="11" bestFit="1" customWidth="1"/>
    <col min="57" max="57" width="12" bestFit="1" customWidth="1"/>
    <col min="58" max="58" width="11" bestFit="1" customWidth="1"/>
    <col min="59" max="61" width="12" bestFit="1" customWidth="1"/>
    <col min="62" max="62" width="11" bestFit="1" customWidth="1"/>
    <col min="63" max="90" width="12" bestFit="1" customWidth="1"/>
    <col min="91" max="91" width="11" bestFit="1" customWidth="1"/>
    <col min="92" max="92" width="12" bestFit="1" customWidth="1"/>
    <col min="93" max="93" width="11" bestFit="1" customWidth="1"/>
    <col min="94" max="97" width="12" bestFit="1" customWidth="1"/>
    <col min="98" max="98" width="9" bestFit="1" customWidth="1"/>
    <col min="99" max="104" width="12" bestFit="1" customWidth="1"/>
    <col min="105" max="105" width="9" bestFit="1" customWidth="1"/>
    <col min="106" max="109" width="12" bestFit="1" customWidth="1"/>
    <col min="110" max="110" width="11" bestFit="1" customWidth="1"/>
    <col min="111" max="117" width="12" bestFit="1" customWidth="1"/>
    <col min="118" max="118" width="11" bestFit="1" customWidth="1"/>
    <col min="119" max="122" width="12" bestFit="1" customWidth="1"/>
    <col min="123" max="123" width="11" bestFit="1" customWidth="1"/>
    <col min="124" max="134" width="12" bestFit="1" customWidth="1"/>
    <col min="135" max="135" width="11" bestFit="1" customWidth="1"/>
    <col min="136" max="149" width="12" bestFit="1" customWidth="1"/>
    <col min="150" max="150" width="11" bestFit="1" customWidth="1"/>
    <col min="151" max="166" width="12" bestFit="1" customWidth="1"/>
    <col min="167" max="167" width="11" bestFit="1" customWidth="1"/>
    <col min="168" max="181" width="12" bestFit="1" customWidth="1"/>
    <col min="182" max="182" width="11" bestFit="1" customWidth="1"/>
    <col min="183" max="185" width="12" bestFit="1" customWidth="1"/>
    <col min="186" max="186" width="11" bestFit="1" customWidth="1"/>
    <col min="187" max="195" width="12" bestFit="1" customWidth="1"/>
    <col min="196" max="196" width="11" bestFit="1" customWidth="1"/>
    <col min="197" max="202" width="12" bestFit="1" customWidth="1"/>
    <col min="203" max="203" width="9" bestFit="1" customWidth="1"/>
    <col min="204" max="204" width="12" bestFit="1" customWidth="1"/>
    <col min="205" max="205" width="11" bestFit="1" customWidth="1"/>
    <col min="206" max="215" width="12" bestFit="1" customWidth="1"/>
    <col min="216" max="216" width="11" bestFit="1" customWidth="1"/>
    <col min="217" max="221" width="12" bestFit="1" customWidth="1"/>
    <col min="222" max="222" width="11" bestFit="1" customWidth="1"/>
    <col min="223" max="231" width="12" bestFit="1" customWidth="1"/>
    <col min="232" max="232" width="10" bestFit="1" customWidth="1"/>
    <col min="233" max="244" width="12" bestFit="1" customWidth="1"/>
    <col min="245" max="245" width="11" bestFit="1" customWidth="1"/>
    <col min="246" max="266" width="12" bestFit="1" customWidth="1"/>
    <col min="267" max="267" width="11" bestFit="1" customWidth="1"/>
    <col min="268" max="268" width="12" bestFit="1" customWidth="1"/>
    <col min="269" max="269" width="11" bestFit="1" customWidth="1"/>
    <col min="270" max="287" width="12" bestFit="1" customWidth="1"/>
    <col min="288" max="288" width="11" bestFit="1" customWidth="1"/>
    <col min="289" max="303" width="12" bestFit="1" customWidth="1"/>
    <col min="304" max="304" width="13.5703125" bestFit="1" customWidth="1"/>
    <col min="305" max="317" width="12" bestFit="1" customWidth="1"/>
    <col min="318" max="318" width="11" bestFit="1" customWidth="1"/>
    <col min="319" max="331" width="12" bestFit="1" customWidth="1"/>
    <col min="332" max="332" width="11" bestFit="1" customWidth="1"/>
    <col min="333" max="341" width="12" bestFit="1" customWidth="1"/>
    <col min="342" max="343" width="11" bestFit="1" customWidth="1"/>
    <col min="344" max="350" width="12" bestFit="1" customWidth="1"/>
    <col min="351" max="351" width="11" bestFit="1" customWidth="1"/>
    <col min="352" max="355" width="12" bestFit="1" customWidth="1"/>
    <col min="356" max="356" width="11" bestFit="1" customWidth="1"/>
    <col min="357" max="357" width="12" bestFit="1" customWidth="1"/>
    <col min="358" max="358" width="11" bestFit="1" customWidth="1"/>
    <col min="359" max="361" width="12" bestFit="1" customWidth="1"/>
    <col min="362" max="362" width="11" bestFit="1" customWidth="1"/>
    <col min="363" max="390" width="12" bestFit="1" customWidth="1"/>
    <col min="391" max="391" width="11" bestFit="1" customWidth="1"/>
    <col min="392" max="392" width="12" bestFit="1" customWidth="1"/>
    <col min="393" max="393" width="11" bestFit="1" customWidth="1"/>
    <col min="394" max="397" width="12" bestFit="1" customWidth="1"/>
    <col min="398" max="398" width="9" bestFit="1" customWidth="1"/>
    <col min="399" max="404" width="12" bestFit="1" customWidth="1"/>
    <col min="405" max="405" width="9" bestFit="1" customWidth="1"/>
    <col min="406" max="409" width="12" bestFit="1" customWidth="1"/>
    <col min="410" max="410" width="11" bestFit="1" customWidth="1"/>
    <col min="411" max="417" width="12" bestFit="1" customWidth="1"/>
    <col min="418" max="418" width="11" bestFit="1" customWidth="1"/>
    <col min="419" max="422" width="12" bestFit="1" customWidth="1"/>
    <col min="423" max="423" width="11" bestFit="1" customWidth="1"/>
    <col min="424" max="434" width="12" bestFit="1" customWidth="1"/>
    <col min="435" max="435" width="11" bestFit="1" customWidth="1"/>
    <col min="436" max="449" width="12" bestFit="1" customWidth="1"/>
    <col min="450" max="450" width="11" bestFit="1" customWidth="1"/>
    <col min="451" max="466" width="12" bestFit="1" customWidth="1"/>
    <col min="467" max="467" width="11" bestFit="1" customWidth="1"/>
    <col min="468" max="481" width="12" bestFit="1" customWidth="1"/>
    <col min="482" max="482" width="11" bestFit="1" customWidth="1"/>
    <col min="483" max="485" width="12" bestFit="1" customWidth="1"/>
    <col min="486" max="486" width="11" bestFit="1" customWidth="1"/>
    <col min="487" max="495" width="12" bestFit="1" customWidth="1"/>
    <col min="496" max="496" width="11" bestFit="1" customWidth="1"/>
    <col min="497" max="502" width="12" bestFit="1" customWidth="1"/>
    <col min="503" max="503" width="9" bestFit="1" customWidth="1"/>
    <col min="504" max="504" width="12" bestFit="1" customWidth="1"/>
    <col min="505" max="505" width="11" bestFit="1" customWidth="1"/>
    <col min="506" max="515" width="12" bestFit="1" customWidth="1"/>
    <col min="516" max="516" width="11" bestFit="1" customWidth="1"/>
    <col min="517" max="521" width="12" bestFit="1" customWidth="1"/>
    <col min="522" max="522" width="11" bestFit="1" customWidth="1"/>
    <col min="523" max="531" width="12" bestFit="1" customWidth="1"/>
    <col min="532" max="532" width="10" bestFit="1" customWidth="1"/>
    <col min="533" max="544" width="12" bestFit="1" customWidth="1"/>
    <col min="545" max="545" width="11" bestFit="1" customWidth="1"/>
    <col min="546" max="566" width="12" bestFit="1" customWidth="1"/>
    <col min="567" max="567" width="11" bestFit="1" customWidth="1"/>
    <col min="568" max="568" width="12" bestFit="1" customWidth="1"/>
    <col min="569" max="569" width="11" bestFit="1" customWidth="1"/>
    <col min="570" max="587" width="12" bestFit="1" customWidth="1"/>
    <col min="588" max="588" width="11" bestFit="1" customWidth="1"/>
    <col min="589" max="603" width="12" bestFit="1" customWidth="1"/>
    <col min="604" max="604" width="17.42578125" bestFit="1" customWidth="1"/>
    <col min="605" max="617" width="12" bestFit="1" customWidth="1"/>
    <col min="618" max="618" width="11" bestFit="1" customWidth="1"/>
    <col min="619" max="631" width="12" bestFit="1" customWidth="1"/>
    <col min="632" max="632" width="11" bestFit="1" customWidth="1"/>
    <col min="633" max="641" width="12" bestFit="1" customWidth="1"/>
    <col min="642" max="643" width="11" bestFit="1" customWidth="1"/>
    <col min="644" max="650" width="12" bestFit="1" customWidth="1"/>
    <col min="651" max="651" width="11" bestFit="1" customWidth="1"/>
    <col min="652" max="655" width="12" bestFit="1" customWidth="1"/>
    <col min="656" max="656" width="11" bestFit="1" customWidth="1"/>
    <col min="657" max="657" width="12" bestFit="1" customWidth="1"/>
    <col min="658" max="658" width="11" bestFit="1" customWidth="1"/>
    <col min="659" max="661" width="12" bestFit="1" customWidth="1"/>
    <col min="662" max="662" width="11" bestFit="1" customWidth="1"/>
    <col min="663" max="690" width="12" bestFit="1" customWidth="1"/>
    <col min="691" max="691" width="11" bestFit="1" customWidth="1"/>
    <col min="692" max="692" width="12" bestFit="1" customWidth="1"/>
    <col min="693" max="693" width="11" bestFit="1" customWidth="1"/>
    <col min="694" max="697" width="12" bestFit="1" customWidth="1"/>
    <col min="698" max="698" width="9" bestFit="1" customWidth="1"/>
    <col min="699" max="704" width="12" bestFit="1" customWidth="1"/>
    <col min="705" max="705" width="9" bestFit="1" customWidth="1"/>
    <col min="706" max="709" width="12" bestFit="1" customWidth="1"/>
    <col min="710" max="710" width="11" bestFit="1" customWidth="1"/>
    <col min="711" max="717" width="12" bestFit="1" customWidth="1"/>
    <col min="718" max="718" width="11" bestFit="1" customWidth="1"/>
    <col min="719" max="722" width="12" bestFit="1" customWidth="1"/>
    <col min="723" max="723" width="11" bestFit="1" customWidth="1"/>
    <col min="724" max="734" width="12" bestFit="1" customWidth="1"/>
    <col min="735" max="735" width="11" bestFit="1" customWidth="1"/>
    <col min="736" max="749" width="12" bestFit="1" customWidth="1"/>
    <col min="750" max="750" width="11" bestFit="1" customWidth="1"/>
    <col min="751" max="766" width="12" bestFit="1" customWidth="1"/>
    <col min="767" max="767" width="11" bestFit="1" customWidth="1"/>
    <col min="768" max="781" width="12" bestFit="1" customWidth="1"/>
    <col min="782" max="782" width="11" bestFit="1" customWidth="1"/>
    <col min="783" max="785" width="12" bestFit="1" customWidth="1"/>
    <col min="786" max="786" width="11" bestFit="1" customWidth="1"/>
    <col min="787" max="795" width="12" bestFit="1" customWidth="1"/>
    <col min="796" max="796" width="11" bestFit="1" customWidth="1"/>
    <col min="797" max="802" width="12" bestFit="1" customWidth="1"/>
    <col min="803" max="803" width="9" bestFit="1" customWidth="1"/>
    <col min="804" max="804" width="12" bestFit="1" customWidth="1"/>
    <col min="805" max="805" width="11" bestFit="1" customWidth="1"/>
    <col min="806" max="815" width="12" bestFit="1" customWidth="1"/>
    <col min="816" max="816" width="11" bestFit="1" customWidth="1"/>
    <col min="817" max="821" width="12" bestFit="1" customWidth="1"/>
    <col min="822" max="822" width="11" bestFit="1" customWidth="1"/>
    <col min="823" max="831" width="12" bestFit="1" customWidth="1"/>
    <col min="832" max="832" width="10" bestFit="1" customWidth="1"/>
    <col min="833" max="844" width="12" bestFit="1" customWidth="1"/>
    <col min="845" max="845" width="11" bestFit="1" customWidth="1"/>
    <col min="846" max="866" width="12" bestFit="1" customWidth="1"/>
    <col min="867" max="867" width="11" bestFit="1" customWidth="1"/>
    <col min="868" max="868" width="12" bestFit="1" customWidth="1"/>
    <col min="869" max="869" width="11" bestFit="1" customWidth="1"/>
    <col min="870" max="887" width="12" bestFit="1" customWidth="1"/>
    <col min="888" max="888" width="11" bestFit="1" customWidth="1"/>
    <col min="889" max="903" width="12" bestFit="1" customWidth="1"/>
    <col min="904" max="904" width="18.5703125" bestFit="1" customWidth="1"/>
    <col min="905" max="917" width="12" bestFit="1" customWidth="1"/>
    <col min="918" max="918" width="11" bestFit="1" customWidth="1"/>
    <col min="919" max="931" width="12" bestFit="1" customWidth="1"/>
    <col min="932" max="932" width="11" bestFit="1" customWidth="1"/>
    <col min="933" max="941" width="12" bestFit="1" customWidth="1"/>
    <col min="942" max="943" width="11" bestFit="1" customWidth="1"/>
    <col min="944" max="950" width="12" bestFit="1" customWidth="1"/>
    <col min="951" max="951" width="11" bestFit="1" customWidth="1"/>
    <col min="952" max="955" width="12" bestFit="1" customWidth="1"/>
    <col min="956" max="956" width="11" bestFit="1" customWidth="1"/>
    <col min="957" max="957" width="12" bestFit="1" customWidth="1"/>
    <col min="958" max="958" width="11" bestFit="1" customWidth="1"/>
    <col min="959" max="961" width="12" bestFit="1" customWidth="1"/>
    <col min="962" max="962" width="11" bestFit="1" customWidth="1"/>
    <col min="963" max="990" width="12" bestFit="1" customWidth="1"/>
    <col min="991" max="991" width="11" bestFit="1" customWidth="1"/>
    <col min="992" max="992" width="12" bestFit="1" customWidth="1"/>
    <col min="993" max="993" width="11" bestFit="1" customWidth="1"/>
    <col min="994" max="997" width="12" bestFit="1" customWidth="1"/>
    <col min="998" max="998" width="9" bestFit="1" customWidth="1"/>
    <col min="999" max="1004" width="12" bestFit="1" customWidth="1"/>
    <col min="1005" max="1005" width="9" bestFit="1" customWidth="1"/>
    <col min="1006" max="1009" width="12" bestFit="1" customWidth="1"/>
    <col min="1010" max="1010" width="11" bestFit="1" customWidth="1"/>
    <col min="1011" max="1017" width="12" bestFit="1" customWidth="1"/>
    <col min="1018" max="1018" width="11" bestFit="1" customWidth="1"/>
    <col min="1019" max="1022" width="12" bestFit="1" customWidth="1"/>
    <col min="1023" max="1023" width="11" bestFit="1" customWidth="1"/>
    <col min="1024" max="1034" width="12" bestFit="1" customWidth="1"/>
    <col min="1035" max="1035" width="11" bestFit="1" customWidth="1"/>
    <col min="1036" max="1049" width="12" bestFit="1" customWidth="1"/>
    <col min="1050" max="1050" width="11" bestFit="1" customWidth="1"/>
    <col min="1051" max="1066" width="12" bestFit="1" customWidth="1"/>
    <col min="1067" max="1067" width="11" bestFit="1" customWidth="1"/>
    <col min="1068" max="1081" width="12" bestFit="1" customWidth="1"/>
    <col min="1082" max="1082" width="11" bestFit="1" customWidth="1"/>
    <col min="1083" max="1085" width="12" bestFit="1" customWidth="1"/>
    <col min="1086" max="1086" width="11" bestFit="1" customWidth="1"/>
    <col min="1087" max="1095" width="12" bestFit="1" customWidth="1"/>
    <col min="1096" max="1096" width="11" bestFit="1" customWidth="1"/>
    <col min="1097" max="1102" width="12" bestFit="1" customWidth="1"/>
    <col min="1103" max="1103" width="9" bestFit="1" customWidth="1"/>
    <col min="1104" max="1104" width="12" bestFit="1" customWidth="1"/>
    <col min="1105" max="1105" width="11" bestFit="1" customWidth="1"/>
    <col min="1106" max="1115" width="12" bestFit="1" customWidth="1"/>
    <col min="1116" max="1116" width="11" bestFit="1" customWidth="1"/>
    <col min="1117" max="1121" width="12" bestFit="1" customWidth="1"/>
    <col min="1122" max="1122" width="11" bestFit="1" customWidth="1"/>
    <col min="1123" max="1131" width="12" bestFit="1" customWidth="1"/>
    <col min="1132" max="1132" width="10" bestFit="1" customWidth="1"/>
    <col min="1133" max="1144" width="12" bestFit="1" customWidth="1"/>
    <col min="1145" max="1145" width="11" bestFit="1" customWidth="1"/>
    <col min="1146" max="1166" width="12" bestFit="1" customWidth="1"/>
    <col min="1167" max="1167" width="11" bestFit="1" customWidth="1"/>
    <col min="1168" max="1168" width="12" bestFit="1" customWidth="1"/>
    <col min="1169" max="1169" width="11" bestFit="1" customWidth="1"/>
    <col min="1170" max="1187" width="12" bestFit="1" customWidth="1"/>
    <col min="1188" max="1188" width="11" bestFit="1" customWidth="1"/>
    <col min="1189" max="1203" width="12" bestFit="1" customWidth="1"/>
    <col min="1204" max="1204" width="12.85546875" bestFit="1" customWidth="1"/>
    <col min="1205" max="1217" width="12" bestFit="1" customWidth="1"/>
    <col min="1218" max="1218" width="11" bestFit="1" customWidth="1"/>
    <col min="1219" max="1231" width="12" bestFit="1" customWidth="1"/>
    <col min="1232" max="1232" width="11" bestFit="1" customWidth="1"/>
    <col min="1233" max="1241" width="12" bestFit="1" customWidth="1"/>
    <col min="1242" max="1243" width="11" bestFit="1" customWidth="1"/>
    <col min="1244" max="1250" width="12" bestFit="1" customWidth="1"/>
    <col min="1251" max="1251" width="11" bestFit="1" customWidth="1"/>
    <col min="1252" max="1255" width="12" bestFit="1" customWidth="1"/>
    <col min="1256" max="1256" width="11" bestFit="1" customWidth="1"/>
    <col min="1257" max="1257" width="12" bestFit="1" customWidth="1"/>
    <col min="1258" max="1258" width="11" bestFit="1" customWidth="1"/>
    <col min="1259" max="1261" width="12" bestFit="1" customWidth="1"/>
    <col min="1262" max="1262" width="11" bestFit="1" customWidth="1"/>
    <col min="1263" max="1290" width="12" bestFit="1" customWidth="1"/>
    <col min="1291" max="1291" width="11" bestFit="1" customWidth="1"/>
    <col min="1292" max="1292" width="12" bestFit="1" customWidth="1"/>
    <col min="1293" max="1293" width="11" bestFit="1" customWidth="1"/>
    <col min="1294" max="1297" width="12" bestFit="1" customWidth="1"/>
    <col min="1298" max="1298" width="9" bestFit="1" customWidth="1"/>
    <col min="1299" max="1304" width="12" bestFit="1" customWidth="1"/>
    <col min="1305" max="1305" width="9" bestFit="1" customWidth="1"/>
    <col min="1306" max="1309" width="12" bestFit="1" customWidth="1"/>
    <col min="1310" max="1310" width="11" bestFit="1" customWidth="1"/>
    <col min="1311" max="1317" width="12" bestFit="1" customWidth="1"/>
    <col min="1318" max="1318" width="11" bestFit="1" customWidth="1"/>
    <col min="1319" max="1322" width="12" bestFit="1" customWidth="1"/>
    <col min="1323" max="1323" width="11" bestFit="1" customWidth="1"/>
    <col min="1324" max="1334" width="12" bestFit="1" customWidth="1"/>
    <col min="1335" max="1335" width="11" bestFit="1" customWidth="1"/>
    <col min="1336" max="1349" width="12" bestFit="1" customWidth="1"/>
    <col min="1350" max="1350" width="11" bestFit="1" customWidth="1"/>
    <col min="1351" max="1366" width="12" bestFit="1" customWidth="1"/>
    <col min="1367" max="1367" width="11" bestFit="1" customWidth="1"/>
    <col min="1368" max="1381" width="12" bestFit="1" customWidth="1"/>
    <col min="1382" max="1382" width="11" bestFit="1" customWidth="1"/>
    <col min="1383" max="1385" width="12" bestFit="1" customWidth="1"/>
    <col min="1386" max="1386" width="11" bestFit="1" customWidth="1"/>
    <col min="1387" max="1395" width="12" bestFit="1" customWidth="1"/>
    <col min="1396" max="1396" width="11" bestFit="1" customWidth="1"/>
    <col min="1397" max="1402" width="12" bestFit="1" customWidth="1"/>
    <col min="1403" max="1403" width="9" bestFit="1" customWidth="1"/>
    <col min="1404" max="1404" width="12" bestFit="1" customWidth="1"/>
    <col min="1405" max="1405" width="11" bestFit="1" customWidth="1"/>
    <col min="1406" max="1415" width="12" bestFit="1" customWidth="1"/>
    <col min="1416" max="1416" width="11" bestFit="1" customWidth="1"/>
    <col min="1417" max="1421" width="12" bestFit="1" customWidth="1"/>
    <col min="1422" max="1422" width="11" bestFit="1" customWidth="1"/>
    <col min="1423" max="1431" width="12" bestFit="1" customWidth="1"/>
    <col min="1432" max="1432" width="10" bestFit="1" customWidth="1"/>
    <col min="1433" max="1444" width="12" bestFit="1" customWidth="1"/>
    <col min="1445" max="1445" width="11" bestFit="1" customWidth="1"/>
    <col min="1446" max="1466" width="12" bestFit="1" customWidth="1"/>
    <col min="1467" max="1467" width="11" bestFit="1" customWidth="1"/>
    <col min="1468" max="1468" width="12" bestFit="1" customWidth="1"/>
    <col min="1469" max="1469" width="11" bestFit="1" customWidth="1"/>
    <col min="1470" max="1487" width="12" bestFit="1" customWidth="1"/>
    <col min="1488" max="1488" width="11" bestFit="1" customWidth="1"/>
    <col min="1489" max="1503" width="12" bestFit="1" customWidth="1"/>
    <col min="1504" max="1504" width="12.5703125" bestFit="1" customWidth="1"/>
    <col min="1505" max="1517" width="12" bestFit="1" customWidth="1"/>
    <col min="1518" max="1518" width="11" bestFit="1" customWidth="1"/>
    <col min="1519" max="1531" width="12" bestFit="1" customWidth="1"/>
    <col min="1532" max="1532" width="11" bestFit="1" customWidth="1"/>
    <col min="1533" max="1541" width="12" bestFit="1" customWidth="1"/>
    <col min="1542" max="1543" width="11" bestFit="1" customWidth="1"/>
    <col min="1544" max="1550" width="12" bestFit="1" customWidth="1"/>
    <col min="1551" max="1551" width="11" bestFit="1" customWidth="1"/>
    <col min="1552" max="1555" width="12" bestFit="1" customWidth="1"/>
    <col min="1556" max="1556" width="11" bestFit="1" customWidth="1"/>
    <col min="1557" max="1557" width="12" bestFit="1" customWidth="1"/>
    <col min="1558" max="1558" width="11" bestFit="1" customWidth="1"/>
    <col min="1559" max="1561" width="12" bestFit="1" customWidth="1"/>
    <col min="1562" max="1562" width="11" bestFit="1" customWidth="1"/>
    <col min="1563" max="1590" width="12" bestFit="1" customWidth="1"/>
    <col min="1591" max="1591" width="11" bestFit="1" customWidth="1"/>
    <col min="1592" max="1592" width="12" bestFit="1" customWidth="1"/>
    <col min="1593" max="1593" width="11" bestFit="1" customWidth="1"/>
    <col min="1594" max="1597" width="12" bestFit="1" customWidth="1"/>
    <col min="1598" max="1598" width="9" bestFit="1" customWidth="1"/>
    <col min="1599" max="1604" width="12" bestFit="1" customWidth="1"/>
    <col min="1605" max="1605" width="9" bestFit="1" customWidth="1"/>
    <col min="1606" max="1609" width="12" bestFit="1" customWidth="1"/>
    <col min="1610" max="1610" width="11" bestFit="1" customWidth="1"/>
    <col min="1611" max="1617" width="12" bestFit="1" customWidth="1"/>
    <col min="1618" max="1618" width="11" bestFit="1" customWidth="1"/>
    <col min="1619" max="1622" width="12" bestFit="1" customWidth="1"/>
    <col min="1623" max="1623" width="11" bestFit="1" customWidth="1"/>
    <col min="1624" max="1634" width="12" bestFit="1" customWidth="1"/>
    <col min="1635" max="1635" width="11" bestFit="1" customWidth="1"/>
    <col min="1636" max="1649" width="12" bestFit="1" customWidth="1"/>
    <col min="1650" max="1650" width="11" bestFit="1" customWidth="1"/>
    <col min="1651" max="1666" width="12" bestFit="1" customWidth="1"/>
    <col min="1667" max="1667" width="11" bestFit="1" customWidth="1"/>
    <col min="1668" max="1681" width="12" bestFit="1" customWidth="1"/>
    <col min="1682" max="1682" width="11" bestFit="1" customWidth="1"/>
    <col min="1683" max="1685" width="12" bestFit="1" customWidth="1"/>
    <col min="1686" max="1686" width="11" bestFit="1" customWidth="1"/>
    <col min="1687" max="1695" width="12" bestFit="1" customWidth="1"/>
    <col min="1696" max="1696" width="11" bestFit="1" customWidth="1"/>
    <col min="1697" max="1702" width="12" bestFit="1" customWidth="1"/>
    <col min="1703" max="1703" width="9" bestFit="1" customWidth="1"/>
    <col min="1704" max="1704" width="12" bestFit="1" customWidth="1"/>
    <col min="1705" max="1705" width="11" bestFit="1" customWidth="1"/>
    <col min="1706" max="1715" width="12" bestFit="1" customWidth="1"/>
    <col min="1716" max="1716" width="11" bestFit="1" customWidth="1"/>
    <col min="1717" max="1721" width="12" bestFit="1" customWidth="1"/>
    <col min="1722" max="1722" width="11" bestFit="1" customWidth="1"/>
    <col min="1723" max="1731" width="12" bestFit="1" customWidth="1"/>
    <col min="1732" max="1732" width="10" bestFit="1" customWidth="1"/>
    <col min="1733" max="1744" width="12" bestFit="1" customWidth="1"/>
    <col min="1745" max="1745" width="11" bestFit="1" customWidth="1"/>
    <col min="1746" max="1766" width="12" bestFit="1" customWidth="1"/>
    <col min="1767" max="1767" width="11" bestFit="1" customWidth="1"/>
    <col min="1768" max="1768" width="12" bestFit="1" customWidth="1"/>
    <col min="1769" max="1769" width="11" bestFit="1" customWidth="1"/>
    <col min="1770" max="1787" width="12" bestFit="1" customWidth="1"/>
    <col min="1788" max="1788" width="11" bestFit="1" customWidth="1"/>
    <col min="1789" max="1803" width="12" bestFit="1" customWidth="1"/>
    <col min="1804" max="1804" width="23.85546875" bestFit="1" customWidth="1"/>
    <col min="1805" max="1817" width="12" bestFit="1" customWidth="1"/>
    <col min="1818" max="1818" width="11" bestFit="1" customWidth="1"/>
    <col min="1819" max="1831" width="12" bestFit="1" customWidth="1"/>
    <col min="1832" max="1832" width="11" bestFit="1" customWidth="1"/>
    <col min="1833" max="1841" width="12" bestFit="1" customWidth="1"/>
    <col min="1842" max="1843" width="11" bestFit="1" customWidth="1"/>
    <col min="1844" max="1850" width="12" bestFit="1" customWidth="1"/>
    <col min="1851" max="1851" width="11" bestFit="1" customWidth="1"/>
    <col min="1852" max="1855" width="12" bestFit="1" customWidth="1"/>
    <col min="1856" max="1856" width="11" bestFit="1" customWidth="1"/>
    <col min="1857" max="1857" width="12" bestFit="1" customWidth="1"/>
    <col min="1858" max="1858" width="11" bestFit="1" customWidth="1"/>
    <col min="1859" max="1861" width="12" bestFit="1" customWidth="1"/>
    <col min="1862" max="1862" width="11" bestFit="1" customWidth="1"/>
    <col min="1863" max="1890" width="12" bestFit="1" customWidth="1"/>
    <col min="1891" max="1891" width="11" bestFit="1" customWidth="1"/>
    <col min="1892" max="1892" width="12" bestFit="1" customWidth="1"/>
    <col min="1893" max="1893" width="11" bestFit="1" customWidth="1"/>
    <col min="1894" max="1897" width="12" bestFit="1" customWidth="1"/>
    <col min="1898" max="1898" width="9" bestFit="1" customWidth="1"/>
    <col min="1899" max="1904" width="12" bestFit="1" customWidth="1"/>
    <col min="1905" max="1905" width="9" bestFit="1" customWidth="1"/>
    <col min="1906" max="1909" width="12" bestFit="1" customWidth="1"/>
    <col min="1910" max="1910" width="11" bestFit="1" customWidth="1"/>
    <col min="1911" max="1917" width="12" bestFit="1" customWidth="1"/>
    <col min="1918" max="1918" width="11" bestFit="1" customWidth="1"/>
    <col min="1919" max="1922" width="12" bestFit="1" customWidth="1"/>
    <col min="1923" max="1923" width="11" bestFit="1" customWidth="1"/>
    <col min="1924" max="1934" width="12" bestFit="1" customWidth="1"/>
    <col min="1935" max="1935" width="11" bestFit="1" customWidth="1"/>
    <col min="1936" max="1949" width="12" bestFit="1" customWidth="1"/>
    <col min="1950" max="1950" width="11" bestFit="1" customWidth="1"/>
    <col min="1951" max="1966" width="12" bestFit="1" customWidth="1"/>
    <col min="1967" max="1967" width="11" bestFit="1" customWidth="1"/>
    <col min="1968" max="1981" width="12" bestFit="1" customWidth="1"/>
    <col min="1982" max="1982" width="11" bestFit="1" customWidth="1"/>
    <col min="1983" max="1985" width="12" bestFit="1" customWidth="1"/>
    <col min="1986" max="1986" width="11" bestFit="1" customWidth="1"/>
    <col min="1987" max="1995" width="12" bestFit="1" customWidth="1"/>
    <col min="1996" max="1996" width="11" bestFit="1" customWidth="1"/>
    <col min="1997" max="2002" width="12" bestFit="1" customWidth="1"/>
    <col min="2003" max="2003" width="9" bestFit="1" customWidth="1"/>
    <col min="2004" max="2004" width="12" bestFit="1" customWidth="1"/>
    <col min="2005" max="2005" width="11" bestFit="1" customWidth="1"/>
    <col min="2006" max="2015" width="12" bestFit="1" customWidth="1"/>
    <col min="2016" max="2016" width="11" bestFit="1" customWidth="1"/>
    <col min="2017" max="2021" width="12" bestFit="1" customWidth="1"/>
    <col min="2022" max="2022" width="11" bestFit="1" customWidth="1"/>
    <col min="2023" max="2031" width="12" bestFit="1" customWidth="1"/>
    <col min="2032" max="2032" width="10" bestFit="1" customWidth="1"/>
    <col min="2033" max="2044" width="12" bestFit="1" customWidth="1"/>
    <col min="2045" max="2045" width="11" bestFit="1" customWidth="1"/>
    <col min="2046" max="2066" width="12" bestFit="1" customWidth="1"/>
    <col min="2067" max="2067" width="11" bestFit="1" customWidth="1"/>
    <col min="2068" max="2068" width="12" bestFit="1" customWidth="1"/>
    <col min="2069" max="2069" width="11" bestFit="1" customWidth="1"/>
    <col min="2070" max="2087" width="12" bestFit="1" customWidth="1"/>
    <col min="2088" max="2088" width="11" bestFit="1" customWidth="1"/>
    <col min="2089" max="2103" width="12" bestFit="1" customWidth="1"/>
    <col min="2104" max="2104" width="17" bestFit="1" customWidth="1"/>
    <col min="2105" max="2105" width="18.5703125" bestFit="1" customWidth="1"/>
    <col min="2106" max="2106" width="22.42578125" bestFit="1" customWidth="1"/>
    <col min="2107" max="2107" width="23.5703125" bestFit="1" customWidth="1"/>
    <col min="2108" max="2108" width="18" bestFit="1" customWidth="1"/>
    <col min="2109" max="2109" width="17.7109375" bestFit="1" customWidth="1"/>
    <col min="2110" max="2110" width="28.85546875" bestFit="1" customWidth="1"/>
  </cols>
  <sheetData>
    <row r="7" spans="3:6">
      <c r="C7" s="5" t="s">
        <v>359</v>
      </c>
      <c r="D7" t="s">
        <v>389</v>
      </c>
      <c r="E7" t="s">
        <v>390</v>
      </c>
      <c r="F7" t="s">
        <v>391</v>
      </c>
    </row>
    <row r="8" spans="3:6">
      <c r="C8" s="6" t="s">
        <v>13</v>
      </c>
      <c r="D8" s="4">
        <v>251473</v>
      </c>
      <c r="E8" s="4">
        <v>29285</v>
      </c>
      <c r="F8" s="4">
        <v>20818</v>
      </c>
    </row>
    <row r="9" spans="3:6">
      <c r="C9" s="6" t="s">
        <v>22</v>
      </c>
      <c r="D9" s="4">
        <v>450295</v>
      </c>
      <c r="E9" s="4">
        <v>45498</v>
      </c>
      <c r="F9" s="4">
        <v>31577</v>
      </c>
    </row>
    <row r="10" spans="3:6">
      <c r="C10" s="6" t="s">
        <v>28</v>
      </c>
      <c r="D10" s="4">
        <v>195407</v>
      </c>
      <c r="E10" s="4">
        <v>18618</v>
      </c>
      <c r="F10" s="4">
        <v>14671</v>
      </c>
    </row>
    <row r="11" spans="3:6">
      <c r="C11" s="6" t="s">
        <v>360</v>
      </c>
      <c r="D11" s="4">
        <v>897175</v>
      </c>
      <c r="E11" s="4">
        <v>93401</v>
      </c>
      <c r="F11" s="4">
        <v>67066</v>
      </c>
    </row>
    <row r="14" spans="3:6">
      <c r="C14" s="15" t="s">
        <v>376</v>
      </c>
      <c r="D14" s="15" t="s">
        <v>381</v>
      </c>
      <c r="E14" s="15" t="s">
        <v>380</v>
      </c>
    </row>
    <row r="15" spans="3:6">
      <c r="C15" s="30">
        <f>GETPIVOTDATA("Sum of Likess",$C$7)</f>
        <v>897175</v>
      </c>
      <c r="D15" s="30">
        <f>GETPIVOTDATA("Sum of Sharess",$C$7)</f>
        <v>93401</v>
      </c>
      <c r="E15" s="30">
        <f>GETPIVOTDATA("Sum of Commentss",$C$7)</f>
        <v>67066</v>
      </c>
    </row>
    <row r="17" spans="2:9">
      <c r="H17" s="5" t="s">
        <v>359</v>
      </c>
      <c r="I17" t="s">
        <v>371</v>
      </c>
    </row>
    <row r="18" spans="2:9">
      <c r="H18" s="6" t="s">
        <v>13</v>
      </c>
      <c r="I18" s="4">
        <v>15642297</v>
      </c>
    </row>
    <row r="19" spans="2:9" ht="15.75" thickBot="1">
      <c r="H19" s="6" t="s">
        <v>22</v>
      </c>
      <c r="I19" s="4">
        <v>14575123</v>
      </c>
    </row>
    <row r="20" spans="2:9">
      <c r="B20" s="16"/>
      <c r="C20" s="17"/>
      <c r="D20" s="17"/>
      <c r="E20" s="17"/>
      <c r="F20" s="18"/>
      <c r="H20" s="6" t="s">
        <v>28</v>
      </c>
      <c r="I20" s="4">
        <v>16284387</v>
      </c>
    </row>
    <row r="21" spans="2:9">
      <c r="B21" s="19"/>
      <c r="C21" s="22" t="s">
        <v>372</v>
      </c>
      <c r="D21" s="22" t="s">
        <v>373</v>
      </c>
      <c r="E21" s="22" t="s">
        <v>374</v>
      </c>
      <c r="F21" s="27" t="s">
        <v>375</v>
      </c>
      <c r="H21" s="6" t="s">
        <v>360</v>
      </c>
      <c r="I21" s="4">
        <v>46501807</v>
      </c>
    </row>
    <row r="22" spans="2:9">
      <c r="B22" s="19"/>
      <c r="C22" s="23">
        <f>GETPIVOTDATA("Total_Followers",$H$17)</f>
        <v>46501807</v>
      </c>
      <c r="D22" s="23">
        <f>GETPIVOTDATA("Total_Followers",$H$17,"Platform","Instagram")</f>
        <v>15642297</v>
      </c>
      <c r="E22" s="23">
        <f>GETPIVOTDATA("Total_Followers",$H$17,"Platform","Twitter")</f>
        <v>14575123</v>
      </c>
      <c r="F22" s="28">
        <f>GETPIVOTDATA("Total_Followers",$H$17,"Platform","YouTube")</f>
        <v>16284387</v>
      </c>
    </row>
    <row r="23" spans="2:9">
      <c r="B23" s="19"/>
      <c r="C23" s="20"/>
      <c r="D23" s="20"/>
      <c r="E23" s="20"/>
      <c r="F23" s="21"/>
    </row>
    <row r="24" spans="2:9" ht="15.75" thickBot="1">
      <c r="B24" s="24"/>
      <c r="C24" s="25"/>
      <c r="D24" s="25"/>
      <c r="E24" s="25"/>
      <c r="F24" s="26"/>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63B107D-1621-466E-A6CA-E04CD98DF7EB}">
  <ds:schemaRefs/>
</ds:datastoreItem>
</file>

<file path=customXml/itemProps2.xml><?xml version="1.0" encoding="utf-8"?>
<ds:datastoreItem xmlns:ds="http://schemas.openxmlformats.org/officeDocument/2006/customXml" ds:itemID="{93C90B9C-E5CE-4E0A-BFF1-592FB0FA375E}">
  <ds:schemaRefs/>
</ds:datastoreItem>
</file>

<file path=customXml/itemProps3.xml><?xml version="1.0" encoding="utf-8"?>
<ds:datastoreItem xmlns:ds="http://schemas.openxmlformats.org/officeDocument/2006/customXml" ds:itemID="{FD54EA82-883B-41D8-967E-DF22581C2BF0}">
  <ds:schemaRefs/>
</ds:datastoreItem>
</file>

<file path=customXml/itemProps4.xml><?xml version="1.0" encoding="utf-8"?>
<ds:datastoreItem xmlns:ds="http://schemas.openxmlformats.org/officeDocument/2006/customXml" ds:itemID="{50C7EA85-5B41-44C0-B239-8DAEF8FB77E4}">
  <ds:schemaRefs/>
</ds:datastoreItem>
</file>

<file path=customXml/itemProps5.xml><?xml version="1.0" encoding="utf-8"?>
<ds:datastoreItem xmlns:ds="http://schemas.openxmlformats.org/officeDocument/2006/customXml" ds:itemID="{ADC949C4-8A4D-4A3B-A9F4-59C7616BEB0F}">
  <ds:schemaRefs/>
</ds:datastoreItem>
</file>

<file path=customXml/itemProps6.xml><?xml version="1.0" encoding="utf-8"?>
<ds:datastoreItem xmlns:ds="http://schemas.openxmlformats.org/officeDocument/2006/customXml" ds:itemID="{462E3E0A-F62D-493F-8005-730EC2C8F684}">
  <ds:schemaRefs/>
</ds:datastoreItem>
</file>

<file path=customXml/itemProps7.xml><?xml version="1.0" encoding="utf-8"?>
<ds:datastoreItem xmlns:ds="http://schemas.openxmlformats.org/officeDocument/2006/customXml" ds:itemID="{F6D830BF-99AE-4D61-B8EA-8BB014801CD2}">
  <ds:schemaRefs/>
</ds:datastoreItem>
</file>

<file path=customXml/itemProps8.xml><?xml version="1.0" encoding="utf-8"?>
<ds:datastoreItem xmlns:ds="http://schemas.openxmlformats.org/officeDocument/2006/customXml" ds:itemID="{FB62F856-6F72-4E4D-8785-2188F35F4375}">
  <ds:schemaRefs/>
</ds:datastoreItem>
</file>

<file path=customXml/itemProps9.xml><?xml version="1.0" encoding="utf-8"?>
<ds:datastoreItem xmlns:ds="http://schemas.openxmlformats.org/officeDocument/2006/customXml" ds:itemID="{04C18C28-1EBD-4E46-B2C0-91E1C6604BF9}">
  <ds:schemaRefs/>
</ds:datastoreItem>
</file>

<file path=customXml/itemProps10.xml><?xml version="1.0" encoding="utf-8"?>
<ds:datastoreItem xmlns:ds="http://schemas.openxmlformats.org/officeDocument/2006/customXml" ds:itemID="{E3DC3028-5552-4A1E-8B6A-F61C9DF25845}">
  <ds:schemaRefs/>
</ds:datastoreItem>
</file>

<file path=customXml/itemProps11.xml><?xml version="1.0" encoding="utf-8"?>
<ds:datastoreItem xmlns:ds="http://schemas.openxmlformats.org/officeDocument/2006/customXml" ds:itemID="{9494FB87-5B0D-422F-A5E6-2D34D3CDC701}">
  <ds:schemaRefs/>
</ds:datastoreItem>
</file>

<file path=customXml/itemProps12.xml><?xml version="1.0" encoding="utf-8"?>
<ds:datastoreItem xmlns:ds="http://schemas.openxmlformats.org/officeDocument/2006/customXml" ds:itemID="{2951F68A-29A8-44C8-BAC7-4AE87824ADB2}">
  <ds:schemaRefs/>
</ds:datastoreItem>
</file>

<file path=customXml/itemProps13.xml><?xml version="1.0" encoding="utf-8"?>
<ds:datastoreItem xmlns:ds="http://schemas.openxmlformats.org/officeDocument/2006/customXml" ds:itemID="{837B611D-26EA-42BF-954E-97653729541C}">
  <ds:schemaRefs/>
</ds:datastoreItem>
</file>

<file path=customXml/itemProps14.xml><?xml version="1.0" encoding="utf-8"?>
<ds:datastoreItem xmlns:ds="http://schemas.openxmlformats.org/officeDocument/2006/customXml" ds:itemID="{1B1FC6A6-14F3-4F51-BF77-2D1671A5B147}">
  <ds:schemaRefs/>
</ds:datastoreItem>
</file>

<file path=customXml/itemProps15.xml><?xml version="1.0" encoding="utf-8"?>
<ds:datastoreItem xmlns:ds="http://schemas.openxmlformats.org/officeDocument/2006/customXml" ds:itemID="{7A360AE7-F627-4A0E-B1EF-78542C6396F9}">
  <ds:schemaRefs/>
</ds:datastoreItem>
</file>

<file path=customXml/itemProps16.xml><?xml version="1.0" encoding="utf-8"?>
<ds:datastoreItem xmlns:ds="http://schemas.openxmlformats.org/officeDocument/2006/customXml" ds:itemID="{18F45761-325C-4EB7-A295-3411F6A57617}">
  <ds:schemaRefs/>
</ds:datastoreItem>
</file>

<file path=customXml/itemProps17.xml><?xml version="1.0" encoding="utf-8"?>
<ds:datastoreItem xmlns:ds="http://schemas.openxmlformats.org/officeDocument/2006/customXml" ds:itemID="{DB64D414-EB6B-4890-9ED3-4C1BF0F41162}">
  <ds:schemaRefs/>
</ds:datastoreItem>
</file>

<file path=customXml/itemProps18.xml><?xml version="1.0" encoding="utf-8"?>
<ds:datastoreItem xmlns:ds="http://schemas.openxmlformats.org/officeDocument/2006/customXml" ds:itemID="{1D4F66B1-A6BD-4B7A-B427-CF373ED1DD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Posts</vt:lpstr>
      <vt:lpstr>Engagement Summary</vt:lpstr>
      <vt:lpstr>Campaign Metadata</vt:lpstr>
      <vt:lpstr>Analysis done</vt:lpstr>
      <vt:lpstr>Task 1</vt:lpstr>
      <vt:lpstr>TASK2</vt:lpstr>
      <vt:lpstr>TASK3</vt:lpstr>
      <vt:lpstr>Task 4</vt:lpstr>
      <vt:lpstr>Task 5</vt:lpstr>
      <vt:lpstr>Task 6</vt:lpstr>
      <vt:lpstr>Dashboard</vt:lpstr>
      <vt:lpstr>Rough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singh</dc:creator>
  <cp:lastModifiedBy>shashank singh</cp:lastModifiedBy>
  <dcterms:created xsi:type="dcterms:W3CDTF">2025-10-16T08:34:52Z</dcterms:created>
  <dcterms:modified xsi:type="dcterms:W3CDTF">2025-12-05T08:25:50Z</dcterms:modified>
</cp:coreProperties>
</file>